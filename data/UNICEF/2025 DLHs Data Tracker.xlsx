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mc:AlternateContent xmlns:mc="http://schemas.openxmlformats.org/markup-compatibility/2006">
    <mc:Choice Requires="x15">
      <x15ac:absPath xmlns:x15ac="http://schemas.microsoft.com/office/spreadsheetml/2010/11/ac" url="https://unicef.sharepoint.com/teams/SLE-T4D/DocumentLibrary1/SLCO INNV Sharepoint Structure/1. Programmes/1. Reporting/Monitoring Dashboards/"/>
    </mc:Choice>
  </mc:AlternateContent>
  <xr:revisionPtr revIDLastSave="0" documentId="8_{A3FC3FF8-87B5-4B7C-BE91-97EB37FFC4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STI - DLHs(Master Table)" sheetId="1" r:id="rId1"/>
    <sheet name="Sheet1" sheetId="10" r:id="rId2"/>
    <sheet name="EasySTEM" sheetId="5" r:id="rId3"/>
    <sheet name="EduCube" sheetId="6" r:id="rId4"/>
    <sheet name="STFoundation" sheetId="7" r:id="rId5"/>
    <sheet name="Indicators" sheetId="8" r:id="rId6"/>
    <sheet name="AVoY Adocacy" sheetId="9" r:id="rId7"/>
    <sheet name="Gender Summary" sheetId="2" state="hidden" r:id="rId8"/>
    <sheet name="Education Status" sheetId="4" state="hidden" r:id="rId9"/>
    <sheet name="Age Group Summary" sheetId="3" state="hidden" r:id="rId10"/>
  </sheets>
  <definedNames>
    <definedName name="_xlnm._FilterDatabase" localSheetId="9" hidden="1">'Age Group Summary'!$A$1:$H$1</definedName>
    <definedName name="_xlnm._FilterDatabase" localSheetId="6" hidden="1">'AVoY Adocacy'!$A$1:$F$1</definedName>
    <definedName name="_xlnm._FilterDatabase" localSheetId="0" hidden="1">'DSTI - DLHs(Master Table)'!$A$1:$L$50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0" l="1"/>
  <c r="D8" i="10" s="1"/>
  <c r="D4" i="10" l="1"/>
  <c r="D5" i="10"/>
  <c r="D3" i="10"/>
  <c r="L50" i="1"/>
  <c r="E7" i="9"/>
  <c r="E5" i="9"/>
  <c r="C14" i="9"/>
  <c r="D14" i="9"/>
  <c r="E11" i="9"/>
  <c r="E9" i="9"/>
  <c r="E6" i="9"/>
  <c r="E4" i="9"/>
  <c r="E13" i="9"/>
  <c r="E10" i="9"/>
  <c r="E8" i="9"/>
  <c r="E3" i="9"/>
  <c r="E2" i="9"/>
  <c r="E12" i="9"/>
  <c r="E14" i="9" l="1"/>
  <c r="Q42" i="1" l="1"/>
  <c r="R42" i="1"/>
  <c r="P42" i="1"/>
  <c r="D50" i="1" l="1"/>
  <c r="E50" i="1"/>
  <c r="F50" i="1"/>
  <c r="G50" i="1"/>
  <c r="H50" i="1"/>
  <c r="I50" i="1"/>
  <c r="J50" i="1"/>
  <c r="K50" i="1"/>
  <c r="C50" i="1"/>
  <c r="S31" i="1"/>
  <c r="O31" i="1"/>
  <c r="E25" i="5"/>
  <c r="D25" i="5"/>
  <c r="C25" i="5"/>
  <c r="G14" i="8"/>
  <c r="E14" i="8"/>
  <c r="C4" i="8" l="1"/>
  <c r="C14" i="8" s="1"/>
</calcChain>
</file>

<file path=xl/sharedStrings.xml><?xml version="1.0" encoding="utf-8"?>
<sst xmlns="http://schemas.openxmlformats.org/spreadsheetml/2006/main" count="327" uniqueCount="77">
  <si>
    <t>Month</t>
  </si>
  <si>
    <t>Hub</t>
  </si>
  <si>
    <t>Male</t>
  </si>
  <si>
    <t>Female</t>
  </si>
  <si>
    <t>In School</t>
  </si>
  <si>
    <t>Out of School</t>
  </si>
  <si>
    <t>&lt;10</t>
  </si>
  <si>
    <t>10-14</t>
  </si>
  <si>
    <t>15-19</t>
  </si>
  <si>
    <t>20-24</t>
  </si>
  <si>
    <t>&gt;25</t>
  </si>
  <si>
    <t>Total Users</t>
  </si>
  <si>
    <t>EBK (Makeni)</t>
  </si>
  <si>
    <t>ETU (Kenema)</t>
  </si>
  <si>
    <t>FBC</t>
  </si>
  <si>
    <t>IPAM</t>
  </si>
  <si>
    <t>LP MBSSE    Jan - Oct</t>
  </si>
  <si>
    <t>LP HCD    Jan - Sept</t>
  </si>
  <si>
    <t>male</t>
  </si>
  <si>
    <t>female</t>
  </si>
  <si>
    <t>Children Upto 18</t>
  </si>
  <si>
    <t>DLHs</t>
  </si>
  <si>
    <t>EasySTEM</t>
  </si>
  <si>
    <t>LP</t>
  </si>
  <si>
    <t>DLHS Numbers</t>
  </si>
  <si>
    <t>Total</t>
  </si>
  <si>
    <t>Jan-Aug 25</t>
  </si>
  <si>
    <t>All sites (Plus DLH in a bag deployment)</t>
  </si>
  <si>
    <t>United Brethren Academy Senior Secondary School</t>
  </si>
  <si>
    <t>St. Joseph’s Secondary School</t>
  </si>
  <si>
    <t>Lokomasama Secondary School</t>
  </si>
  <si>
    <t>Bubuya Community Secondary School</t>
  </si>
  <si>
    <t>Dandebu Community School</t>
  </si>
  <si>
    <t>Output Indicator 6.5.1 (IND2001271): Number of people directly or indirectly reached through innovation solutions
MOV - Sector MIS</t>
  </si>
  <si>
    <t>2025 Actual</t>
  </si>
  <si>
    <t>Output Indicator 6.5.2 (IND0028113): Number of innovative solutions (technologies, design, approaches, methodologies, systems) that have​ been prototyped, implemented, or scaled
MOV - Programme reports</t>
  </si>
  <si>
    <t xml:space="preserve">Output Indicator 6.5.3 (IND0028114): Number of staff and UNICEF partners who have participated in innovation-related activities. 
MOV - Programme monitoring report
</t>
  </si>
  <si>
    <t>BDD Numbers(DLHs, EduCube, EasySTEM, LP)</t>
  </si>
  <si>
    <t>EduCube</t>
  </si>
  <si>
    <t>UPSHIFT Climate Challenge Incubation</t>
  </si>
  <si>
    <t>DPG Numbers</t>
  </si>
  <si>
    <t>Project Alpha</t>
  </si>
  <si>
    <t>Health Hackathon</t>
  </si>
  <si>
    <t>Ureport</t>
  </si>
  <si>
    <t>Content development: KMC, Life Skills, 02AIHero, Positive Parenting</t>
  </si>
  <si>
    <t>Staff AI Refresher</t>
  </si>
  <si>
    <t>RapidPro</t>
  </si>
  <si>
    <t>Climate Stakeholder mapping tool</t>
  </si>
  <si>
    <t>AI Upskilling week</t>
  </si>
  <si>
    <t>LP National Teacher Training</t>
  </si>
  <si>
    <t>NDC</t>
  </si>
  <si>
    <t>DPG Academia Co-creation</t>
  </si>
  <si>
    <t>NDLS</t>
  </si>
  <si>
    <t>Capacity Building DPG POCs</t>
  </si>
  <si>
    <t>Open Source policy</t>
  </si>
  <si>
    <t>Learn2Earn</t>
  </si>
  <si>
    <t>DPG Accelerator</t>
  </si>
  <si>
    <t>DPG Meetup Hub Training</t>
  </si>
  <si>
    <t>TOTAL</t>
  </si>
  <si>
    <t>Date</t>
  </si>
  <si>
    <t>Description</t>
  </si>
  <si>
    <t>MoV</t>
  </si>
  <si>
    <t>Online Safety - Safer Internet Day</t>
  </si>
  <si>
    <t>UReport</t>
  </si>
  <si>
    <t>U-Report Feedback</t>
  </si>
  <si>
    <t>Online Safety (AI-generated content)</t>
  </si>
  <si>
    <t>NDC Regional Youth Consultations - Western, Southern, Northern</t>
  </si>
  <si>
    <t>In-person consulation</t>
  </si>
  <si>
    <t>Climate Change- NDC Poll</t>
  </si>
  <si>
    <t>Youth Insights- Online Survey</t>
  </si>
  <si>
    <t>Online forms</t>
  </si>
  <si>
    <t>Girls' Rights</t>
  </si>
  <si>
    <t>HPV (Cervical Cancer) - Awareness</t>
  </si>
  <si>
    <t>World Children's Day- Child Rights</t>
  </si>
  <si>
    <t>HPV Vaccine</t>
  </si>
  <si>
    <t>PSEA Awareness</t>
  </si>
  <si>
    <t>End of Year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</si>
</sst>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F800]dddd\,\ mmmm\ dd\,\ yyyy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thin">
        <color rgb="FF00B0F0"/>
      </right>
      <top style="medium">
        <color indexed="64"/>
      </top>
      <bottom style="medium">
        <color indexed="64"/>
      </bottom>
      <diagonal/>
    </border>
    <border>
      <left style="thin">
        <color rgb="FF00B0F0"/>
      </left>
      <right style="thin">
        <color rgb="FF00B0F0"/>
      </right>
      <top style="medium">
        <color indexed="64"/>
      </top>
      <bottom style="medium">
        <color indexed="64"/>
      </bottom>
      <diagonal/>
    </border>
    <border>
      <left style="thin">
        <color rgb="FF00B0F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medium">
        <color indexed="64"/>
      </right>
      <top/>
      <bottom style="thin">
        <color rgb="FF00B0F0"/>
      </bottom>
      <diagonal/>
    </border>
    <border>
      <left style="medium">
        <color indexed="64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indexed="64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7" fontId="3" fillId="0" borderId="7" xfId="0" applyNumberFormat="1" applyFont="1" applyBorder="1"/>
    <xf numFmtId="0" fontId="3" fillId="0" borderId="8" xfId="0" applyFont="1" applyBorder="1"/>
    <xf numFmtId="17" fontId="3" fillId="0" borderId="9" xfId="0" applyNumberFormat="1" applyFont="1" applyBorder="1"/>
    <xf numFmtId="0" fontId="3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3" borderId="14" xfId="0" applyFont="1" applyFill="1" applyBorder="1" applyAlignment="1">
      <alignment vertical="top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left" vertical="top" wrapText="1"/>
    </xf>
    <xf numFmtId="0" fontId="1" fillId="3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vertical="top" wrapText="1"/>
    </xf>
    <xf numFmtId="0" fontId="0" fillId="0" borderId="18" xfId="0" applyBorder="1"/>
    <xf numFmtId="0" fontId="0" fillId="0" borderId="17" xfId="0" applyBorder="1"/>
    <xf numFmtId="0" fontId="0" fillId="0" borderId="18" xfId="0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3" xfId="0" applyBorder="1"/>
    <xf numFmtId="164" fontId="0" fillId="4" borderId="22" xfId="1" applyFont="1" applyFill="1" applyBorder="1"/>
    <xf numFmtId="0" fontId="3" fillId="0" borderId="3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165" fontId="0" fillId="4" borderId="0" xfId="1" applyNumberFormat="1" applyFont="1" applyFill="1"/>
    <xf numFmtId="165" fontId="0" fillId="0" borderId="1" xfId="1" applyNumberFormat="1" applyFont="1" applyBorder="1" applyAlignment="1">
      <alignment vertical="top" wrapText="1"/>
    </xf>
    <xf numFmtId="165" fontId="0" fillId="0" borderId="12" xfId="1" applyNumberFormat="1" applyFont="1" applyBorder="1"/>
    <xf numFmtId="3" fontId="0" fillId="0" borderId="0" xfId="0" applyNumberFormat="1"/>
    <xf numFmtId="166" fontId="0" fillId="0" borderId="1" xfId="0" applyNumberFormat="1" applyBorder="1"/>
    <xf numFmtId="165" fontId="0" fillId="0" borderId="1" xfId="1" applyNumberFormat="1" applyFont="1" applyBorder="1"/>
    <xf numFmtId="165" fontId="1" fillId="5" borderId="1" xfId="1" applyNumberFormat="1" applyFont="1" applyFill="1" applyBorder="1"/>
    <xf numFmtId="166" fontId="1" fillId="5" borderId="23" xfId="0" applyNumberFormat="1" applyFont="1" applyFill="1" applyBorder="1"/>
    <xf numFmtId="166" fontId="1" fillId="5" borderId="24" xfId="0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0" xfId="0" applyAlignment="1">
      <alignment horizontal="left" vertical="top"/>
    </xf>
    <xf numFmtId="165" fontId="0" fillId="0" borderId="0" xfId="1" applyNumberFormat="1" applyFont="1"/>
    <xf numFmtId="165" fontId="0" fillId="6" borderId="0" xfId="0" applyNumberFormat="1" applyFill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zoomScale="90" zoomScaleNormal="90" workbookViewId="0">
      <pane xSplit="2" ySplit="1" topLeftCell="C19" activePane="bottomRight" state="frozen"/>
      <selection pane="bottomRight" activeCell="S56" sqref="S56"/>
      <selection pane="bottomLeft" activeCell="A2" sqref="A2"/>
      <selection pane="topRight" activeCell="C1" sqref="C1"/>
    </sheetView>
  </sheetViews>
  <sheetFormatPr defaultRowHeight="14.45"/>
  <cols>
    <col min="1" max="1" width="10.85546875" customWidth="1"/>
    <col min="2" max="2" width="15.85546875" customWidth="1"/>
    <col min="4" max="4" width="10.85546875" customWidth="1"/>
    <col min="5" max="5" width="12" customWidth="1"/>
    <col min="6" max="6" width="16.140625" customWidth="1"/>
    <col min="7" max="7" width="10.5703125" customWidth="1"/>
    <col min="8" max="8" width="12.140625" customWidth="1"/>
    <col min="9" max="9" width="11.42578125" customWidth="1"/>
    <col min="10" max="10" width="10.5703125" customWidth="1"/>
    <col min="11" max="11" width="11" customWidth="1"/>
    <col min="12" max="12" width="13.140625" customWidth="1"/>
    <col min="15" max="15" width="10.140625" bestFit="1" customWidth="1"/>
  </cols>
  <sheetData>
    <row r="1" spans="1:12" ht="15" thickBo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</row>
    <row r="2" spans="1:12">
      <c r="A2" s="8">
        <v>45658</v>
      </c>
      <c r="B2" s="4" t="s">
        <v>12</v>
      </c>
      <c r="C2" s="4">
        <v>85</v>
      </c>
      <c r="D2" s="4">
        <v>32</v>
      </c>
      <c r="E2" s="4">
        <v>118</v>
      </c>
      <c r="F2" s="4">
        <v>0</v>
      </c>
      <c r="G2" s="4">
        <v>0</v>
      </c>
      <c r="H2" s="3">
        <v>38</v>
      </c>
      <c r="I2" s="3">
        <v>36</v>
      </c>
      <c r="J2" s="3">
        <v>11</v>
      </c>
      <c r="K2" s="3">
        <v>32</v>
      </c>
      <c r="L2" s="9"/>
    </row>
    <row r="3" spans="1:12">
      <c r="A3" s="10">
        <v>45658</v>
      </c>
      <c r="B3" s="3" t="s">
        <v>13</v>
      </c>
      <c r="C3" s="3">
        <v>290</v>
      </c>
      <c r="D3" s="3">
        <v>185</v>
      </c>
      <c r="E3" s="3">
        <v>380</v>
      </c>
      <c r="F3" s="3">
        <v>95</v>
      </c>
      <c r="G3" s="3">
        <v>82</v>
      </c>
      <c r="H3" s="3">
        <v>70</v>
      </c>
      <c r="I3" s="3">
        <v>128</v>
      </c>
      <c r="J3" s="3">
        <v>110</v>
      </c>
      <c r="K3" s="3">
        <v>88</v>
      </c>
      <c r="L3" s="11"/>
    </row>
    <row r="4" spans="1:12">
      <c r="A4" s="10">
        <v>45658</v>
      </c>
      <c r="B4" s="3" t="s">
        <v>14</v>
      </c>
      <c r="C4" s="3">
        <v>100</v>
      </c>
      <c r="D4" s="3">
        <v>76</v>
      </c>
      <c r="E4" s="3">
        <v>18</v>
      </c>
      <c r="F4" s="3">
        <v>0</v>
      </c>
      <c r="G4" s="3">
        <v>0</v>
      </c>
      <c r="H4" s="3">
        <v>9</v>
      </c>
      <c r="I4" s="3">
        <v>15</v>
      </c>
      <c r="J4" s="3">
        <v>93</v>
      </c>
      <c r="K4" s="3">
        <v>58</v>
      </c>
      <c r="L4" s="11"/>
    </row>
    <row r="5" spans="1:12">
      <c r="A5" s="10">
        <v>45658</v>
      </c>
      <c r="B5" s="3" t="s">
        <v>15</v>
      </c>
      <c r="C5" s="3">
        <v>230</v>
      </c>
      <c r="D5" s="3">
        <v>30</v>
      </c>
      <c r="E5" s="3">
        <v>240</v>
      </c>
      <c r="F5" s="3">
        <v>18</v>
      </c>
      <c r="G5" s="3">
        <v>46</v>
      </c>
      <c r="H5" s="3">
        <v>82</v>
      </c>
      <c r="I5" s="3">
        <v>54</v>
      </c>
      <c r="J5" s="3">
        <v>42</v>
      </c>
      <c r="K5" s="3">
        <v>36</v>
      </c>
      <c r="L5" s="11"/>
    </row>
    <row r="6" spans="1:12">
      <c r="A6" s="10">
        <v>45689</v>
      </c>
      <c r="B6" s="3" t="s">
        <v>12</v>
      </c>
      <c r="C6" s="3">
        <v>91</v>
      </c>
      <c r="D6" s="3">
        <v>35</v>
      </c>
      <c r="E6" s="3">
        <v>126</v>
      </c>
      <c r="F6" s="3">
        <v>0</v>
      </c>
      <c r="G6" s="3">
        <v>0</v>
      </c>
      <c r="H6" s="3">
        <v>41</v>
      </c>
      <c r="I6" s="3">
        <v>39</v>
      </c>
      <c r="J6" s="3">
        <v>12</v>
      </c>
      <c r="K6" s="3">
        <v>34</v>
      </c>
      <c r="L6" s="11"/>
    </row>
    <row r="7" spans="1:12">
      <c r="A7" s="10">
        <v>45689</v>
      </c>
      <c r="B7" s="3" t="s">
        <v>13</v>
      </c>
      <c r="C7" s="3">
        <v>321</v>
      </c>
      <c r="D7" s="3">
        <v>201</v>
      </c>
      <c r="E7" s="3">
        <v>417</v>
      </c>
      <c r="F7" s="3">
        <v>105</v>
      </c>
      <c r="G7" s="3">
        <v>90</v>
      </c>
      <c r="H7" s="3">
        <v>76</v>
      </c>
      <c r="I7" s="3">
        <v>140</v>
      </c>
      <c r="J7" s="3">
        <v>120</v>
      </c>
      <c r="K7" s="3">
        <v>96</v>
      </c>
      <c r="L7" s="11"/>
    </row>
    <row r="8" spans="1:12">
      <c r="A8" s="10">
        <v>45689</v>
      </c>
      <c r="B8" s="3" t="s">
        <v>14</v>
      </c>
      <c r="C8" s="3">
        <v>108</v>
      </c>
      <c r="D8" s="3">
        <v>83</v>
      </c>
      <c r="E8" s="3">
        <v>191</v>
      </c>
      <c r="F8" s="3">
        <v>0</v>
      </c>
      <c r="G8" s="3">
        <v>0</v>
      </c>
      <c r="H8" s="3">
        <v>10</v>
      </c>
      <c r="I8" s="3">
        <v>16</v>
      </c>
      <c r="J8" s="3">
        <v>102</v>
      </c>
      <c r="K8" s="3">
        <v>63</v>
      </c>
      <c r="L8" s="11"/>
    </row>
    <row r="9" spans="1:12">
      <c r="A9" s="10">
        <v>45689</v>
      </c>
      <c r="B9" s="3" t="s">
        <v>15</v>
      </c>
      <c r="C9" s="3">
        <v>250</v>
      </c>
      <c r="D9" s="3">
        <v>32</v>
      </c>
      <c r="E9" s="3">
        <v>261</v>
      </c>
      <c r="F9" s="3">
        <v>21</v>
      </c>
      <c r="G9" s="3">
        <v>50</v>
      </c>
      <c r="H9" s="3">
        <v>89</v>
      </c>
      <c r="I9" s="3">
        <v>59</v>
      </c>
      <c r="J9" s="3">
        <v>45</v>
      </c>
      <c r="K9" s="3">
        <v>39</v>
      </c>
      <c r="L9" s="11"/>
    </row>
    <row r="10" spans="1:12">
      <c r="A10" s="10">
        <v>45717</v>
      </c>
      <c r="B10" s="3" t="s">
        <v>12</v>
      </c>
      <c r="C10" s="3">
        <v>141</v>
      </c>
      <c r="D10" s="3">
        <v>134</v>
      </c>
      <c r="E10" s="3">
        <v>260</v>
      </c>
      <c r="F10" s="3">
        <v>15</v>
      </c>
      <c r="G10" s="3">
        <v>15</v>
      </c>
      <c r="H10" s="3">
        <v>101</v>
      </c>
      <c r="I10" s="3">
        <v>94</v>
      </c>
      <c r="J10" s="3">
        <v>58</v>
      </c>
      <c r="K10" s="3">
        <v>7</v>
      </c>
      <c r="L10" s="11"/>
    </row>
    <row r="11" spans="1:12">
      <c r="A11" s="10">
        <v>45717</v>
      </c>
      <c r="B11" s="3" t="s">
        <v>13</v>
      </c>
      <c r="C11" s="3">
        <v>223</v>
      </c>
      <c r="D11" s="3">
        <v>202</v>
      </c>
      <c r="E11" s="3">
        <v>400</v>
      </c>
      <c r="F11" s="3">
        <v>25</v>
      </c>
      <c r="G11" s="3">
        <v>39</v>
      </c>
      <c r="H11" s="3">
        <v>126</v>
      </c>
      <c r="I11" s="3">
        <v>100</v>
      </c>
      <c r="J11" s="3">
        <v>110</v>
      </c>
      <c r="K11" s="3">
        <v>50</v>
      </c>
      <c r="L11" s="11"/>
    </row>
    <row r="12" spans="1:12">
      <c r="A12" s="10">
        <v>45717</v>
      </c>
      <c r="B12" s="3" t="s">
        <v>14</v>
      </c>
      <c r="C12" s="3">
        <v>72</v>
      </c>
      <c r="D12" s="3">
        <v>60</v>
      </c>
      <c r="E12" s="3">
        <v>132</v>
      </c>
      <c r="F12" s="3">
        <v>0</v>
      </c>
      <c r="G12" s="3">
        <v>0</v>
      </c>
      <c r="H12" s="3">
        <v>0</v>
      </c>
      <c r="I12" s="3">
        <v>22</v>
      </c>
      <c r="J12" s="3">
        <v>60</v>
      </c>
      <c r="K12" s="3">
        <v>50</v>
      </c>
      <c r="L12" s="11"/>
    </row>
    <row r="13" spans="1:12">
      <c r="A13" s="10">
        <v>45717</v>
      </c>
      <c r="B13" s="3" t="s">
        <v>15</v>
      </c>
      <c r="C13" s="3">
        <v>88</v>
      </c>
      <c r="D13" s="3">
        <v>49</v>
      </c>
      <c r="E13" s="3">
        <v>137</v>
      </c>
      <c r="F13" s="3">
        <v>0</v>
      </c>
      <c r="G13" s="3">
        <v>0</v>
      </c>
      <c r="H13" s="3">
        <v>0</v>
      </c>
      <c r="I13" s="3">
        <v>15</v>
      </c>
      <c r="J13" s="3">
        <v>94</v>
      </c>
      <c r="K13" s="3">
        <v>28</v>
      </c>
      <c r="L13" s="11"/>
    </row>
    <row r="14" spans="1:12">
      <c r="A14" s="10">
        <v>45748</v>
      </c>
      <c r="B14" s="3" t="s">
        <v>12</v>
      </c>
      <c r="C14" s="3">
        <v>260</v>
      </c>
      <c r="D14" s="3">
        <v>150</v>
      </c>
      <c r="E14" s="3">
        <v>400</v>
      </c>
      <c r="F14" s="3">
        <v>10</v>
      </c>
      <c r="G14" s="3">
        <v>17</v>
      </c>
      <c r="H14" s="3">
        <v>264</v>
      </c>
      <c r="I14" s="3">
        <v>84</v>
      </c>
      <c r="J14" s="3">
        <v>40</v>
      </c>
      <c r="K14" s="3">
        <v>5</v>
      </c>
      <c r="L14" s="11"/>
    </row>
    <row r="15" spans="1:12">
      <c r="A15" s="10">
        <v>45748</v>
      </c>
      <c r="B15" s="3" t="s">
        <v>13</v>
      </c>
      <c r="C15" s="3">
        <v>292</v>
      </c>
      <c r="D15" s="3">
        <v>215</v>
      </c>
      <c r="E15" s="3">
        <v>500</v>
      </c>
      <c r="F15" s="3">
        <v>7</v>
      </c>
      <c r="G15" s="3">
        <v>46</v>
      </c>
      <c r="H15" s="3">
        <v>131</v>
      </c>
      <c r="I15" s="3">
        <v>140</v>
      </c>
      <c r="J15" s="3">
        <v>121</v>
      </c>
      <c r="K15" s="3">
        <v>69</v>
      </c>
      <c r="L15" s="11"/>
    </row>
    <row r="16" spans="1:12">
      <c r="A16" s="10">
        <v>45748</v>
      </c>
      <c r="B16" s="3" t="s">
        <v>14</v>
      </c>
      <c r="C16" s="3">
        <v>106</v>
      </c>
      <c r="D16" s="3">
        <v>80</v>
      </c>
      <c r="E16" s="3">
        <v>186</v>
      </c>
      <c r="F16" s="3">
        <v>0</v>
      </c>
      <c r="G16" s="3">
        <v>0</v>
      </c>
      <c r="H16" s="3">
        <v>25</v>
      </c>
      <c r="I16" s="3">
        <v>30</v>
      </c>
      <c r="J16" s="3">
        <v>66</v>
      </c>
      <c r="K16" s="3">
        <v>65</v>
      </c>
      <c r="L16" s="11"/>
    </row>
    <row r="17" spans="1:19">
      <c r="A17" s="10">
        <v>45748</v>
      </c>
      <c r="B17" s="3" t="s">
        <v>15</v>
      </c>
      <c r="C17" s="3">
        <v>150</v>
      </c>
      <c r="D17" s="3">
        <v>81</v>
      </c>
      <c r="E17" s="3">
        <v>220</v>
      </c>
      <c r="F17" s="3">
        <v>11</v>
      </c>
      <c r="G17" s="3">
        <v>0</v>
      </c>
      <c r="H17" s="3">
        <v>0</v>
      </c>
      <c r="I17" s="3">
        <v>100</v>
      </c>
      <c r="J17" s="3">
        <v>70</v>
      </c>
      <c r="K17" s="3">
        <v>61</v>
      </c>
      <c r="L17" s="11"/>
    </row>
    <row r="18" spans="1:19">
      <c r="A18" s="10">
        <v>45778</v>
      </c>
      <c r="B18" s="3" t="s">
        <v>12</v>
      </c>
      <c r="C18" s="3">
        <v>282</v>
      </c>
      <c r="D18" s="3">
        <v>157</v>
      </c>
      <c r="E18" s="3">
        <v>350</v>
      </c>
      <c r="F18" s="3">
        <v>89</v>
      </c>
      <c r="G18" s="3">
        <v>18</v>
      </c>
      <c r="H18" s="3">
        <v>266</v>
      </c>
      <c r="I18" s="3">
        <v>97</v>
      </c>
      <c r="J18" s="3">
        <v>52</v>
      </c>
      <c r="K18" s="3">
        <v>6</v>
      </c>
      <c r="L18" s="11"/>
    </row>
    <row r="19" spans="1:19">
      <c r="A19" s="10">
        <v>45778</v>
      </c>
      <c r="B19" s="3" t="s">
        <v>13</v>
      </c>
      <c r="C19" s="3">
        <v>349</v>
      </c>
      <c r="D19" s="3">
        <v>267</v>
      </c>
      <c r="E19" s="3">
        <v>430</v>
      </c>
      <c r="F19" s="3">
        <v>186</v>
      </c>
      <c r="G19" s="3">
        <v>38</v>
      </c>
      <c r="H19" s="3">
        <v>265</v>
      </c>
      <c r="I19" s="3">
        <v>129</v>
      </c>
      <c r="J19" s="3">
        <v>111</v>
      </c>
      <c r="K19" s="3">
        <v>73</v>
      </c>
      <c r="L19" s="11"/>
    </row>
    <row r="20" spans="1:19">
      <c r="A20" s="10">
        <v>45778</v>
      </c>
      <c r="B20" s="3" t="s">
        <v>14</v>
      </c>
      <c r="C20" s="3">
        <v>145</v>
      </c>
      <c r="D20" s="3">
        <v>74</v>
      </c>
      <c r="E20" s="3">
        <v>199</v>
      </c>
      <c r="F20" s="3">
        <v>20</v>
      </c>
      <c r="G20" s="3">
        <v>0</v>
      </c>
      <c r="H20" s="3">
        <v>11</v>
      </c>
      <c r="I20" s="3">
        <v>14</v>
      </c>
      <c r="J20" s="3">
        <v>75</v>
      </c>
      <c r="K20" s="3">
        <v>119</v>
      </c>
      <c r="L20" s="11"/>
    </row>
    <row r="21" spans="1:19">
      <c r="A21" s="10">
        <v>45778</v>
      </c>
      <c r="B21" s="3" t="s">
        <v>15</v>
      </c>
      <c r="C21" s="3">
        <v>156</v>
      </c>
      <c r="D21" s="3">
        <v>85</v>
      </c>
      <c r="E21" s="3">
        <v>211</v>
      </c>
      <c r="F21" s="3">
        <v>30</v>
      </c>
      <c r="G21" s="3">
        <v>0</v>
      </c>
      <c r="H21" s="3">
        <v>0</v>
      </c>
      <c r="I21" s="3">
        <v>130</v>
      </c>
      <c r="J21" s="3">
        <v>74</v>
      </c>
      <c r="K21" s="3">
        <v>37</v>
      </c>
      <c r="L21" s="11"/>
    </row>
    <row r="22" spans="1:19">
      <c r="A22" s="10">
        <v>45809</v>
      </c>
      <c r="B22" s="3" t="s">
        <v>12</v>
      </c>
      <c r="C22" s="3">
        <v>315</v>
      </c>
      <c r="D22" s="3">
        <v>191</v>
      </c>
      <c r="E22" s="3">
        <v>351</v>
      </c>
      <c r="F22" s="3">
        <v>155</v>
      </c>
      <c r="G22" s="3">
        <v>18</v>
      </c>
      <c r="H22" s="3">
        <v>264</v>
      </c>
      <c r="I22" s="3">
        <v>113</v>
      </c>
      <c r="J22" s="3">
        <v>88</v>
      </c>
      <c r="K22" s="3">
        <v>21</v>
      </c>
      <c r="L22" s="11"/>
    </row>
    <row r="23" spans="1:19">
      <c r="A23" s="10">
        <v>45809</v>
      </c>
      <c r="B23" s="3" t="s">
        <v>13</v>
      </c>
      <c r="C23" s="3">
        <v>300</v>
      </c>
      <c r="D23" s="3">
        <v>287</v>
      </c>
      <c r="E23" s="3">
        <v>325</v>
      </c>
      <c r="F23" s="3">
        <v>262</v>
      </c>
      <c r="G23" s="3">
        <v>245</v>
      </c>
      <c r="H23" s="3">
        <v>117</v>
      </c>
      <c r="I23" s="3">
        <v>100</v>
      </c>
      <c r="J23" s="3">
        <v>84</v>
      </c>
      <c r="K23" s="3">
        <v>41</v>
      </c>
      <c r="L23" s="11"/>
    </row>
    <row r="24" spans="1:19">
      <c r="A24" s="10">
        <v>45809</v>
      </c>
      <c r="B24" s="3" t="s">
        <v>14</v>
      </c>
      <c r="C24" s="3">
        <v>188</v>
      </c>
      <c r="D24" s="3">
        <v>80</v>
      </c>
      <c r="E24" s="3">
        <v>268</v>
      </c>
      <c r="F24" s="3">
        <v>0</v>
      </c>
      <c r="G24" s="3">
        <v>0</v>
      </c>
      <c r="H24" s="3">
        <v>18</v>
      </c>
      <c r="I24" s="3">
        <v>44</v>
      </c>
      <c r="J24" s="3">
        <v>38</v>
      </c>
      <c r="K24" s="3">
        <v>168</v>
      </c>
      <c r="L24" s="11"/>
    </row>
    <row r="25" spans="1:19">
      <c r="A25" s="10">
        <v>45809</v>
      </c>
      <c r="B25" s="3" t="s">
        <v>15</v>
      </c>
      <c r="C25" s="3">
        <v>211</v>
      </c>
      <c r="D25" s="3">
        <v>268</v>
      </c>
      <c r="E25" s="3">
        <v>400</v>
      </c>
      <c r="F25" s="3">
        <v>79</v>
      </c>
      <c r="G25" s="3">
        <v>0</v>
      </c>
      <c r="H25" s="3">
        <v>29</v>
      </c>
      <c r="I25" s="3">
        <v>70</v>
      </c>
      <c r="J25" s="3">
        <v>309</v>
      </c>
      <c r="K25" s="3">
        <v>71</v>
      </c>
      <c r="L25" s="11"/>
    </row>
    <row r="26" spans="1:19">
      <c r="A26" s="10">
        <v>45839</v>
      </c>
      <c r="B26" s="3" t="s">
        <v>12</v>
      </c>
      <c r="C26" s="3">
        <v>333</v>
      </c>
      <c r="D26" s="3">
        <v>232</v>
      </c>
      <c r="E26" s="3">
        <v>432</v>
      </c>
      <c r="F26" s="3">
        <v>133</v>
      </c>
      <c r="G26" s="3">
        <v>18</v>
      </c>
      <c r="H26" s="3">
        <v>269</v>
      </c>
      <c r="I26" s="3">
        <v>134</v>
      </c>
      <c r="J26" s="3">
        <v>123</v>
      </c>
      <c r="K26" s="3">
        <v>21</v>
      </c>
      <c r="L26" s="11"/>
      <c r="N26" s="45" t="s">
        <v>16</v>
      </c>
      <c r="O26" s="45"/>
      <c r="R26" s="45" t="s">
        <v>17</v>
      </c>
      <c r="S26" s="45"/>
    </row>
    <row r="27" spans="1:19">
      <c r="A27" s="10">
        <v>45839</v>
      </c>
      <c r="B27" s="3" t="s">
        <v>13</v>
      </c>
      <c r="C27" s="3">
        <v>397</v>
      </c>
      <c r="D27" s="3">
        <v>367</v>
      </c>
      <c r="E27" s="3">
        <v>508</v>
      </c>
      <c r="F27" s="3">
        <v>256</v>
      </c>
      <c r="G27" s="3">
        <v>42</v>
      </c>
      <c r="H27" s="3">
        <v>222</v>
      </c>
      <c r="I27" s="3">
        <v>256</v>
      </c>
      <c r="J27" s="3">
        <v>168</v>
      </c>
      <c r="K27" s="3">
        <v>76</v>
      </c>
      <c r="L27" s="11"/>
    </row>
    <row r="28" spans="1:19">
      <c r="A28" s="10">
        <v>45839</v>
      </c>
      <c r="B28" s="3" t="s">
        <v>14</v>
      </c>
      <c r="C28" s="3">
        <v>179</v>
      </c>
      <c r="D28" s="3">
        <v>126</v>
      </c>
      <c r="E28" s="3">
        <v>300</v>
      </c>
      <c r="F28" s="3">
        <v>5</v>
      </c>
      <c r="G28" s="3">
        <v>0</v>
      </c>
      <c r="H28" s="3">
        <v>38</v>
      </c>
      <c r="I28" s="3">
        <v>51</v>
      </c>
      <c r="J28" s="3">
        <v>63</v>
      </c>
      <c r="K28" s="3">
        <v>153</v>
      </c>
      <c r="L28" s="11"/>
    </row>
    <row r="29" spans="1:19">
      <c r="A29" s="10">
        <v>45839</v>
      </c>
      <c r="B29" s="3" t="s">
        <v>15</v>
      </c>
      <c r="C29" s="3">
        <v>190</v>
      </c>
      <c r="D29" s="3">
        <v>240</v>
      </c>
      <c r="E29" s="3">
        <v>310</v>
      </c>
      <c r="F29" s="3">
        <v>120</v>
      </c>
      <c r="G29" s="3">
        <v>0</v>
      </c>
      <c r="H29" s="3">
        <v>15</v>
      </c>
      <c r="I29" s="3">
        <v>92</v>
      </c>
      <c r="J29" s="3">
        <v>182</v>
      </c>
      <c r="K29" s="3">
        <v>141</v>
      </c>
      <c r="L29" s="11"/>
      <c r="N29" t="s">
        <v>18</v>
      </c>
      <c r="O29">
        <v>6682</v>
      </c>
      <c r="R29" t="s">
        <v>18</v>
      </c>
      <c r="S29">
        <v>378</v>
      </c>
    </row>
    <row r="30" spans="1:19">
      <c r="A30" s="10">
        <v>45870</v>
      </c>
      <c r="B30" s="3" t="s">
        <v>12</v>
      </c>
      <c r="C30" s="3">
        <v>380</v>
      </c>
      <c r="D30" s="3">
        <v>282</v>
      </c>
      <c r="E30" s="3">
        <v>655</v>
      </c>
      <c r="F30" s="3">
        <v>7</v>
      </c>
      <c r="G30" s="3">
        <v>18</v>
      </c>
      <c r="H30" s="3">
        <v>275</v>
      </c>
      <c r="I30" s="3">
        <v>162</v>
      </c>
      <c r="J30" s="3">
        <v>159</v>
      </c>
      <c r="K30" s="3">
        <v>48</v>
      </c>
      <c r="L30" s="11"/>
      <c r="N30" t="s">
        <v>19</v>
      </c>
      <c r="O30">
        <v>3759</v>
      </c>
      <c r="R30" t="s">
        <v>19</v>
      </c>
      <c r="S30">
        <v>322</v>
      </c>
    </row>
    <row r="31" spans="1:19">
      <c r="A31" s="10">
        <v>45870</v>
      </c>
      <c r="B31" s="3" t="s">
        <v>13</v>
      </c>
      <c r="C31" s="3">
        <v>454</v>
      </c>
      <c r="D31" s="3">
        <v>304</v>
      </c>
      <c r="E31" s="3">
        <v>504</v>
      </c>
      <c r="F31" s="3">
        <v>254</v>
      </c>
      <c r="G31" s="3">
        <v>40</v>
      </c>
      <c r="H31" s="3">
        <v>220</v>
      </c>
      <c r="I31" s="3">
        <v>256</v>
      </c>
      <c r="J31" s="3">
        <v>166</v>
      </c>
      <c r="K31" s="3">
        <v>76</v>
      </c>
      <c r="L31" s="11"/>
      <c r="O31" s="32">
        <f>SUM(O29:O30)</f>
        <v>10441</v>
      </c>
      <c r="S31" s="32">
        <f>SUM(S29:S30)</f>
        <v>700</v>
      </c>
    </row>
    <row r="32" spans="1:19">
      <c r="A32" s="10">
        <v>45870</v>
      </c>
      <c r="B32" s="3" t="s">
        <v>14</v>
      </c>
      <c r="C32" s="3">
        <v>249</v>
      </c>
      <c r="D32" s="3">
        <v>136</v>
      </c>
      <c r="E32" s="3">
        <v>315</v>
      </c>
      <c r="F32" s="3">
        <v>70</v>
      </c>
      <c r="G32" s="3">
        <v>5</v>
      </c>
      <c r="H32" s="3">
        <v>62</v>
      </c>
      <c r="I32" s="3">
        <v>21</v>
      </c>
      <c r="J32" s="3">
        <v>110</v>
      </c>
      <c r="K32" s="3">
        <v>187</v>
      </c>
      <c r="L32" s="11"/>
    </row>
    <row r="33" spans="1:18">
      <c r="A33" s="10">
        <v>45870</v>
      </c>
      <c r="B33" s="3" t="s">
        <v>15</v>
      </c>
      <c r="C33" s="3">
        <v>214</v>
      </c>
      <c r="D33" s="3">
        <v>306</v>
      </c>
      <c r="E33" s="3">
        <v>313</v>
      </c>
      <c r="F33" s="3">
        <v>207</v>
      </c>
      <c r="G33" s="3">
        <v>0</v>
      </c>
      <c r="H33" s="3">
        <v>21</v>
      </c>
      <c r="I33" s="3">
        <v>120</v>
      </c>
      <c r="J33" s="3">
        <v>226</v>
      </c>
      <c r="K33" s="3">
        <v>153</v>
      </c>
      <c r="L33" s="11"/>
    </row>
    <row r="34" spans="1:18">
      <c r="A34" s="10">
        <v>45901</v>
      </c>
      <c r="B34" s="3" t="s">
        <v>12</v>
      </c>
      <c r="C34" s="3">
        <v>320</v>
      </c>
      <c r="D34" s="3">
        <v>366</v>
      </c>
      <c r="E34" s="3">
        <v>670</v>
      </c>
      <c r="F34" s="3">
        <v>16</v>
      </c>
      <c r="G34" s="3">
        <v>14</v>
      </c>
      <c r="H34" s="3">
        <v>213</v>
      </c>
      <c r="I34" s="3">
        <v>203</v>
      </c>
      <c r="J34" s="3">
        <v>200</v>
      </c>
      <c r="K34" s="3">
        <v>56</v>
      </c>
      <c r="L34" s="11"/>
    </row>
    <row r="35" spans="1:18">
      <c r="A35" s="10">
        <v>45901</v>
      </c>
      <c r="B35" s="3" t="s">
        <v>13</v>
      </c>
      <c r="C35" s="3">
        <v>500</v>
      </c>
      <c r="D35" s="3">
        <v>300</v>
      </c>
      <c r="E35" s="3">
        <v>530</v>
      </c>
      <c r="F35" s="3">
        <v>270</v>
      </c>
      <c r="G35" s="3">
        <v>30</v>
      </c>
      <c r="H35" s="3">
        <v>215</v>
      </c>
      <c r="I35" s="3">
        <v>259</v>
      </c>
      <c r="J35" s="3">
        <v>170</v>
      </c>
      <c r="K35" s="3">
        <v>126</v>
      </c>
      <c r="L35" s="11"/>
    </row>
    <row r="36" spans="1:18">
      <c r="A36" s="10">
        <v>45901</v>
      </c>
      <c r="B36" s="3" t="s">
        <v>14</v>
      </c>
      <c r="C36" s="3">
        <v>256</v>
      </c>
      <c r="D36" s="3">
        <v>147</v>
      </c>
      <c r="E36" s="3">
        <v>300</v>
      </c>
      <c r="F36" s="3">
        <v>103</v>
      </c>
      <c r="G36" s="3">
        <v>0</v>
      </c>
      <c r="H36" s="3">
        <v>6</v>
      </c>
      <c r="I36" s="3">
        <v>59</v>
      </c>
      <c r="J36" s="3">
        <v>141</v>
      </c>
      <c r="K36" s="3">
        <v>197</v>
      </c>
      <c r="L36" s="11"/>
    </row>
    <row r="37" spans="1:18">
      <c r="A37" s="10">
        <v>45901</v>
      </c>
      <c r="B37" s="3" t="s">
        <v>15</v>
      </c>
      <c r="C37" s="3">
        <v>198</v>
      </c>
      <c r="D37" s="3">
        <v>297</v>
      </c>
      <c r="E37" s="3">
        <v>275</v>
      </c>
      <c r="F37" s="3">
        <v>220</v>
      </c>
      <c r="G37" s="3">
        <v>0</v>
      </c>
      <c r="H37" s="3">
        <v>22</v>
      </c>
      <c r="I37" s="3">
        <v>113</v>
      </c>
      <c r="J37" s="3">
        <v>230</v>
      </c>
      <c r="K37" s="3">
        <v>130</v>
      </c>
      <c r="L37" s="11"/>
    </row>
    <row r="38" spans="1:18">
      <c r="A38" s="10">
        <v>45931</v>
      </c>
      <c r="B38" s="3" t="s">
        <v>12</v>
      </c>
      <c r="C38" s="3">
        <v>341</v>
      </c>
      <c r="D38" s="3">
        <v>388</v>
      </c>
      <c r="E38" s="3">
        <v>721</v>
      </c>
      <c r="F38" s="3">
        <v>8</v>
      </c>
      <c r="G38" s="3">
        <v>14</v>
      </c>
      <c r="H38" s="3">
        <v>213</v>
      </c>
      <c r="I38" s="3">
        <v>219</v>
      </c>
      <c r="J38" s="3">
        <v>210</v>
      </c>
      <c r="K38" s="3">
        <v>73</v>
      </c>
      <c r="L38" s="11"/>
      <c r="O38" s="45" t="s">
        <v>20</v>
      </c>
      <c r="P38" s="45"/>
      <c r="Q38" t="s">
        <v>2</v>
      </c>
      <c r="R38" t="s">
        <v>3</v>
      </c>
    </row>
    <row r="39" spans="1:18">
      <c r="A39" s="10">
        <v>45931</v>
      </c>
      <c r="B39" s="3" t="s">
        <v>13</v>
      </c>
      <c r="C39" s="3">
        <v>200</v>
      </c>
      <c r="D39" s="3">
        <v>206</v>
      </c>
      <c r="E39" s="3">
        <v>295</v>
      </c>
      <c r="F39" s="3">
        <v>111</v>
      </c>
      <c r="G39" s="3">
        <v>30</v>
      </c>
      <c r="H39" s="3">
        <v>169</v>
      </c>
      <c r="I39" s="3">
        <v>61</v>
      </c>
      <c r="J39" s="3">
        <v>70</v>
      </c>
      <c r="K39" s="3">
        <v>76</v>
      </c>
      <c r="L39" s="11"/>
      <c r="O39" t="s">
        <v>21</v>
      </c>
      <c r="P39" s="35">
        <v>9930</v>
      </c>
      <c r="Q39" s="35">
        <v>5560</v>
      </c>
      <c r="R39" s="35">
        <v>4370</v>
      </c>
    </row>
    <row r="40" spans="1:18">
      <c r="A40" s="10">
        <v>45931</v>
      </c>
      <c r="B40" s="3" t="s">
        <v>14</v>
      </c>
      <c r="C40" s="3">
        <v>201</v>
      </c>
      <c r="D40" s="3">
        <v>127</v>
      </c>
      <c r="E40" s="3">
        <v>297</v>
      </c>
      <c r="F40" s="3">
        <v>31</v>
      </c>
      <c r="G40" s="3">
        <v>0</v>
      </c>
      <c r="H40" s="3">
        <v>0</v>
      </c>
      <c r="I40" s="3">
        <v>84</v>
      </c>
      <c r="J40" s="3">
        <v>93</v>
      </c>
      <c r="K40" s="3">
        <v>151</v>
      </c>
      <c r="L40" s="11"/>
      <c r="O40" t="s">
        <v>22</v>
      </c>
      <c r="P40" s="35">
        <v>9913</v>
      </c>
      <c r="Q40" s="35">
        <v>5398</v>
      </c>
      <c r="R40" s="35">
        <v>4515</v>
      </c>
    </row>
    <row r="41" spans="1:18">
      <c r="A41" s="10">
        <v>45931</v>
      </c>
      <c r="B41" s="3" t="s">
        <v>15</v>
      </c>
      <c r="C41" s="3">
        <v>195</v>
      </c>
      <c r="D41" s="3">
        <v>230</v>
      </c>
      <c r="E41" s="3">
        <v>218</v>
      </c>
      <c r="F41" s="3">
        <v>207</v>
      </c>
      <c r="G41" s="3">
        <v>0</v>
      </c>
      <c r="H41" s="3">
        <v>8</v>
      </c>
      <c r="I41" s="3">
        <v>95</v>
      </c>
      <c r="J41" s="3">
        <v>221</v>
      </c>
      <c r="K41" s="3">
        <v>101</v>
      </c>
      <c r="L41" s="11"/>
      <c r="O41" t="s">
        <v>23</v>
      </c>
      <c r="P41" s="35">
        <v>4282</v>
      </c>
      <c r="Q41" s="35">
        <v>2525</v>
      </c>
      <c r="R41" s="35">
        <v>1757</v>
      </c>
    </row>
    <row r="42" spans="1:18">
      <c r="A42" s="10">
        <v>45962</v>
      </c>
      <c r="B42" s="3" t="s">
        <v>12</v>
      </c>
      <c r="C42" s="3">
        <v>350</v>
      </c>
      <c r="D42" s="3">
        <v>450</v>
      </c>
      <c r="E42" s="3">
        <v>800</v>
      </c>
      <c r="F42" s="3">
        <v>0</v>
      </c>
      <c r="G42" s="3">
        <v>30</v>
      </c>
      <c r="H42" s="3">
        <v>250</v>
      </c>
      <c r="I42" s="3">
        <v>219</v>
      </c>
      <c r="J42" s="3">
        <v>226</v>
      </c>
      <c r="K42" s="3">
        <v>75</v>
      </c>
      <c r="L42" s="11"/>
      <c r="P42" s="32">
        <f>SUM(P39:P41)</f>
        <v>24125</v>
      </c>
      <c r="Q42" s="32">
        <f t="shared" ref="Q42:R42" si="0">SUM(Q39:Q41)</f>
        <v>13483</v>
      </c>
      <c r="R42" s="32">
        <f t="shared" si="0"/>
        <v>10642</v>
      </c>
    </row>
    <row r="43" spans="1:18">
      <c r="A43" s="10">
        <v>45962</v>
      </c>
      <c r="B43" s="3" t="s">
        <v>13</v>
      </c>
      <c r="C43" s="3">
        <v>320</v>
      </c>
      <c r="D43" s="3">
        <v>280</v>
      </c>
      <c r="E43" s="3">
        <v>433</v>
      </c>
      <c r="F43" s="3">
        <v>167</v>
      </c>
      <c r="G43" s="3">
        <v>39</v>
      </c>
      <c r="H43" s="3">
        <v>103</v>
      </c>
      <c r="I43" s="3">
        <v>250</v>
      </c>
      <c r="J43" s="3">
        <v>165</v>
      </c>
      <c r="K43" s="3">
        <v>43</v>
      </c>
      <c r="L43" s="11"/>
    </row>
    <row r="44" spans="1:18">
      <c r="A44" s="10">
        <v>45962</v>
      </c>
      <c r="B44" s="3" t="s">
        <v>14</v>
      </c>
      <c r="C44" s="3">
        <v>208</v>
      </c>
      <c r="D44" s="3">
        <v>183</v>
      </c>
      <c r="E44" s="3">
        <v>391</v>
      </c>
      <c r="F44" s="3">
        <v>0</v>
      </c>
      <c r="G44" s="3">
        <v>0</v>
      </c>
      <c r="H44" s="3">
        <v>11</v>
      </c>
      <c r="I44" s="3">
        <v>69</v>
      </c>
      <c r="J44" s="3">
        <v>118</v>
      </c>
      <c r="K44" s="3">
        <v>193</v>
      </c>
      <c r="L44" s="11"/>
    </row>
    <row r="45" spans="1:18">
      <c r="A45" s="10">
        <v>45962</v>
      </c>
      <c r="B45" s="3" t="s">
        <v>15</v>
      </c>
      <c r="C45" s="3">
        <v>168</v>
      </c>
      <c r="D45" s="3">
        <v>222</v>
      </c>
      <c r="E45" s="3">
        <v>170</v>
      </c>
      <c r="F45" s="3">
        <v>220</v>
      </c>
      <c r="G45" s="3">
        <v>0</v>
      </c>
      <c r="H45" s="3">
        <v>10</v>
      </c>
      <c r="I45" s="3">
        <v>80</v>
      </c>
      <c r="J45" s="3">
        <v>185</v>
      </c>
      <c r="K45" s="3">
        <v>115</v>
      </c>
      <c r="L45" s="11"/>
    </row>
    <row r="46" spans="1:18">
      <c r="A46" s="10">
        <v>45992</v>
      </c>
      <c r="B46" s="3" t="s">
        <v>12</v>
      </c>
      <c r="C46" s="3">
        <v>380</v>
      </c>
      <c r="D46" s="3">
        <v>282</v>
      </c>
      <c r="E46" s="3">
        <v>662</v>
      </c>
      <c r="F46" s="3">
        <v>0</v>
      </c>
      <c r="G46" s="3">
        <v>18</v>
      </c>
      <c r="H46" s="3">
        <v>275</v>
      </c>
      <c r="I46" s="3">
        <v>162</v>
      </c>
      <c r="J46" s="3">
        <v>159</v>
      </c>
      <c r="K46" s="3">
        <v>48</v>
      </c>
      <c r="L46" s="11"/>
    </row>
    <row r="47" spans="1:18">
      <c r="A47" s="10">
        <v>45992</v>
      </c>
      <c r="B47" s="3" t="s">
        <v>13</v>
      </c>
      <c r="C47" s="3">
        <v>98</v>
      </c>
      <c r="D47" s="3">
        <v>67</v>
      </c>
      <c r="E47" s="3">
        <v>107</v>
      </c>
      <c r="F47" s="3">
        <v>58</v>
      </c>
      <c r="G47" s="3">
        <v>0</v>
      </c>
      <c r="H47" s="3">
        <v>67</v>
      </c>
      <c r="I47" s="3">
        <v>56</v>
      </c>
      <c r="J47" s="3">
        <v>30</v>
      </c>
      <c r="K47" s="3">
        <v>12</v>
      </c>
      <c r="L47" s="11"/>
    </row>
    <row r="48" spans="1:18">
      <c r="A48" s="10">
        <v>45992</v>
      </c>
      <c r="B48" s="3" t="s">
        <v>14</v>
      </c>
      <c r="C48" s="3">
        <v>71</v>
      </c>
      <c r="D48" s="3">
        <v>48</v>
      </c>
      <c r="E48" s="3">
        <v>118</v>
      </c>
      <c r="F48" s="3">
        <v>0</v>
      </c>
      <c r="G48" s="3">
        <v>0</v>
      </c>
      <c r="H48" s="3">
        <v>0</v>
      </c>
      <c r="I48" s="3">
        <v>91</v>
      </c>
      <c r="J48" s="3">
        <v>110</v>
      </c>
      <c r="K48" s="3">
        <v>17</v>
      </c>
      <c r="L48" s="11"/>
    </row>
    <row r="49" spans="1:12">
      <c r="A49" s="10">
        <v>45992</v>
      </c>
      <c r="B49" s="3" t="s">
        <v>15</v>
      </c>
      <c r="C49" s="3">
        <v>48</v>
      </c>
      <c r="D49" s="3">
        <v>72</v>
      </c>
      <c r="E49" s="3">
        <v>96</v>
      </c>
      <c r="F49" s="3">
        <v>24</v>
      </c>
      <c r="G49" s="3">
        <v>0</v>
      </c>
      <c r="H49" s="3">
        <v>0</v>
      </c>
      <c r="I49" s="3">
        <v>30</v>
      </c>
      <c r="J49" s="3">
        <v>42</v>
      </c>
      <c r="K49" s="3">
        <v>25</v>
      </c>
      <c r="L49" s="11"/>
    </row>
    <row r="50" spans="1:12" ht="15" thickBot="1">
      <c r="A50" s="12"/>
      <c r="B50" s="13"/>
      <c r="C50" s="13">
        <f>SUM(C2:C49)</f>
        <v>11003</v>
      </c>
      <c r="D50" s="13">
        <f t="shared" ref="D50:K50" si="1">SUM(D2:D49)</f>
        <v>8712</v>
      </c>
      <c r="E50" s="34">
        <f t="shared" si="1"/>
        <v>15940</v>
      </c>
      <c r="F50" s="34">
        <f t="shared" si="1"/>
        <v>3615</v>
      </c>
      <c r="G50" s="34">
        <f t="shared" si="1"/>
        <v>1002</v>
      </c>
      <c r="H50" s="34">
        <f t="shared" si="1"/>
        <v>4716</v>
      </c>
      <c r="I50" s="34">
        <f t="shared" si="1"/>
        <v>4911</v>
      </c>
      <c r="J50" s="34">
        <f t="shared" si="1"/>
        <v>5552</v>
      </c>
      <c r="K50" s="34">
        <f t="shared" si="1"/>
        <v>3610</v>
      </c>
      <c r="L50" s="34">
        <f>SUM(L2:L49)</f>
        <v>0</v>
      </c>
    </row>
  </sheetData>
  <autoFilter ref="A1:L50" xr:uid="{00000000-0001-0000-0000-000000000000}"/>
  <mergeCells count="3">
    <mergeCell ref="N26:O26"/>
    <mergeCell ref="R26:S26"/>
    <mergeCell ref="O38:P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6610-4CC1-469C-9756-B3097D4D8FCC}">
  <dimension ref="A1:D8"/>
  <sheetViews>
    <sheetView workbookViewId="0">
      <selection activeCell="J14" sqref="J14"/>
    </sheetView>
  </sheetViews>
  <sheetFormatPr defaultRowHeight="14.45"/>
  <cols>
    <col min="1" max="1" width="9.28515625" bestFit="1" customWidth="1"/>
    <col min="2" max="3" width="16.5703125" bestFit="1" customWidth="1"/>
    <col min="4" max="4" width="18.28515625" customWidth="1"/>
  </cols>
  <sheetData>
    <row r="1" spans="1:4">
      <c r="A1" s="45" t="s">
        <v>24</v>
      </c>
      <c r="B1" s="45"/>
      <c r="C1" s="45"/>
      <c r="D1" s="45"/>
    </row>
    <row r="2" spans="1:4">
      <c r="B2" t="s">
        <v>3</v>
      </c>
      <c r="C2" t="s">
        <v>2</v>
      </c>
      <c r="D2" t="s">
        <v>25</v>
      </c>
    </row>
    <row r="3" spans="1:4">
      <c r="A3" s="42">
        <v>2023</v>
      </c>
      <c r="B3" s="43">
        <v>6460</v>
      </c>
      <c r="C3" s="43">
        <v>15074</v>
      </c>
      <c r="D3" s="43">
        <f>SUM(B3:C3)</f>
        <v>21534</v>
      </c>
    </row>
    <row r="4" spans="1:4">
      <c r="A4" s="42">
        <v>2024</v>
      </c>
      <c r="B4" s="43">
        <v>13127</v>
      </c>
      <c r="C4" s="43">
        <v>10874</v>
      </c>
      <c r="D4" s="43">
        <f t="shared" ref="D4:D6" si="0">SUM(B4:C4)</f>
        <v>24001</v>
      </c>
    </row>
    <row r="5" spans="1:4">
      <c r="A5" s="42">
        <v>2025</v>
      </c>
      <c r="B5" s="43">
        <v>10642</v>
      </c>
      <c r="C5" s="43">
        <v>13483</v>
      </c>
      <c r="D5" s="43">
        <f t="shared" si="0"/>
        <v>24125</v>
      </c>
    </row>
    <row r="6" spans="1:4">
      <c r="A6" s="42">
        <v>2026</v>
      </c>
      <c r="B6" s="43">
        <v>4432</v>
      </c>
      <c r="C6" s="43">
        <v>3614</v>
      </c>
      <c r="D6" s="43">
        <f t="shared" si="0"/>
        <v>8046</v>
      </c>
    </row>
    <row r="8" spans="1:4">
      <c r="D8" s="44">
        <f>SUM(D3:D6)</f>
        <v>77706</v>
      </c>
    </row>
  </sheetData>
  <mergeCells count="1">
    <mergeCell ref="A1:D1"/>
  </mergeCells>
  <pageMargins left="0.7" right="0.7" top="0.75" bottom="0.75" header="0.3" footer="0.3"/>
  <ignoredErrors>
    <ignoredError sqref="D3:D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A8A7-BF9A-4019-964D-7F1851662BE4}">
  <dimension ref="A1:E25"/>
  <sheetViews>
    <sheetView workbookViewId="0">
      <pane xSplit="2" ySplit="1" topLeftCell="C16" activePane="bottomRight" state="frozen"/>
      <selection pane="bottomRight" activeCell="H28" sqref="H28"/>
      <selection pane="bottomLeft" activeCell="A2" sqref="A2"/>
      <selection pane="topRight" activeCell="C1" sqref="C1"/>
    </sheetView>
  </sheetViews>
  <sheetFormatPr defaultRowHeight="14.45"/>
  <cols>
    <col min="1" max="1" width="10.140625" bestFit="1" customWidth="1"/>
    <col min="2" max="2" width="19.140625" customWidth="1"/>
    <col min="3" max="4" width="9.140625" bestFit="1" customWidth="1"/>
  </cols>
  <sheetData>
    <row r="1" spans="1:5" ht="15" thickBot="1">
      <c r="A1" s="5" t="s">
        <v>0</v>
      </c>
      <c r="B1" s="6" t="s">
        <v>1</v>
      </c>
      <c r="C1" s="6" t="s">
        <v>2</v>
      </c>
      <c r="D1" s="6" t="s">
        <v>3</v>
      </c>
      <c r="E1" s="7" t="s">
        <v>11</v>
      </c>
    </row>
    <row r="2" spans="1:5" ht="33.6" customHeight="1">
      <c r="A2" s="8" t="s">
        <v>26</v>
      </c>
      <c r="B2" s="29" t="s">
        <v>27</v>
      </c>
      <c r="C2" s="4">
        <v>4731</v>
      </c>
      <c r="D2" s="4">
        <v>3569</v>
      </c>
      <c r="E2" s="9"/>
    </row>
    <row r="3" spans="1:5" ht="43.5">
      <c r="A3" s="10">
        <v>45901</v>
      </c>
      <c r="B3" s="30" t="s">
        <v>28</v>
      </c>
      <c r="C3" s="3">
        <v>10</v>
      </c>
      <c r="D3" s="3">
        <v>11</v>
      </c>
      <c r="E3" s="11"/>
    </row>
    <row r="4" spans="1:5" ht="29.1">
      <c r="A4" s="10">
        <v>45901</v>
      </c>
      <c r="B4" s="30" t="s">
        <v>29</v>
      </c>
      <c r="C4" s="3">
        <v>0</v>
      </c>
      <c r="D4" s="3">
        <v>20</v>
      </c>
      <c r="E4" s="11"/>
    </row>
    <row r="5" spans="1:5" ht="29.1">
      <c r="A5" s="10">
        <v>45901</v>
      </c>
      <c r="B5" s="30" t="s">
        <v>30</v>
      </c>
      <c r="C5" s="3">
        <v>155</v>
      </c>
      <c r="D5" s="3">
        <v>245</v>
      </c>
      <c r="E5" s="11"/>
    </row>
    <row r="6" spans="1:5" ht="29.1">
      <c r="A6" s="10">
        <v>45901</v>
      </c>
      <c r="B6" s="31" t="s">
        <v>31</v>
      </c>
      <c r="C6" s="3">
        <v>6</v>
      </c>
      <c r="D6" s="3">
        <v>14</v>
      </c>
      <c r="E6" s="11"/>
    </row>
    <row r="7" spans="1:5" ht="29.1">
      <c r="A7" s="10">
        <v>45901</v>
      </c>
      <c r="B7" s="31" t="s">
        <v>32</v>
      </c>
      <c r="C7" s="3">
        <v>0</v>
      </c>
      <c r="D7" s="3">
        <v>0</v>
      </c>
      <c r="E7" s="11"/>
    </row>
    <row r="8" spans="1:5" ht="43.5">
      <c r="A8" s="10">
        <v>45931</v>
      </c>
      <c r="B8" s="30" t="s">
        <v>28</v>
      </c>
      <c r="C8" s="3">
        <v>10</v>
      </c>
      <c r="D8" s="3">
        <v>11</v>
      </c>
      <c r="E8" s="11"/>
    </row>
    <row r="9" spans="1:5" ht="29.1">
      <c r="A9" s="10">
        <v>45931</v>
      </c>
      <c r="B9" s="30" t="s">
        <v>29</v>
      </c>
      <c r="C9" s="3">
        <v>0</v>
      </c>
      <c r="D9" s="3">
        <v>20</v>
      </c>
      <c r="E9" s="11"/>
    </row>
    <row r="10" spans="1:5" ht="29.1">
      <c r="A10" s="10">
        <v>45931</v>
      </c>
      <c r="B10" s="30" t="s">
        <v>30</v>
      </c>
      <c r="C10" s="3">
        <v>200</v>
      </c>
      <c r="D10" s="3">
        <v>225</v>
      </c>
      <c r="E10" s="11"/>
    </row>
    <row r="11" spans="1:5" ht="29.1">
      <c r="A11" s="10">
        <v>45931</v>
      </c>
      <c r="B11" s="31" t="s">
        <v>31</v>
      </c>
      <c r="C11" s="3">
        <v>3</v>
      </c>
      <c r="D11" s="3">
        <v>5</v>
      </c>
      <c r="E11" s="11"/>
    </row>
    <row r="12" spans="1:5" ht="29.1">
      <c r="A12" s="10">
        <v>45931</v>
      </c>
      <c r="B12" s="31" t="s">
        <v>32</v>
      </c>
      <c r="C12" s="3">
        <v>0</v>
      </c>
      <c r="D12" s="3">
        <v>20</v>
      </c>
      <c r="E12" s="11"/>
    </row>
    <row r="13" spans="1:5" ht="43.5">
      <c r="A13" s="10">
        <v>45962</v>
      </c>
      <c r="B13" s="30" t="s">
        <v>28</v>
      </c>
      <c r="C13" s="3">
        <v>10</v>
      </c>
      <c r="D13" s="3">
        <v>20</v>
      </c>
      <c r="E13" s="11"/>
    </row>
    <row r="14" spans="1:5" ht="29.1">
      <c r="A14" s="10">
        <v>45962</v>
      </c>
      <c r="B14" s="30" t="s">
        <v>29</v>
      </c>
      <c r="C14" s="3">
        <v>0</v>
      </c>
      <c r="D14" s="3">
        <v>28</v>
      </c>
      <c r="E14" s="11"/>
    </row>
    <row r="15" spans="1:5" ht="29.1">
      <c r="A15" s="10">
        <v>45962</v>
      </c>
      <c r="B15" s="30" t="s">
        <v>30</v>
      </c>
      <c r="C15" s="3">
        <v>233</v>
      </c>
      <c r="D15" s="3">
        <v>267</v>
      </c>
      <c r="E15" s="11"/>
    </row>
    <row r="16" spans="1:5" ht="29.1">
      <c r="A16" s="10">
        <v>45962</v>
      </c>
      <c r="B16" s="31" t="s">
        <v>31</v>
      </c>
      <c r="C16" s="3">
        <v>15</v>
      </c>
      <c r="D16" s="3">
        <v>25</v>
      </c>
      <c r="E16" s="11"/>
    </row>
    <row r="17" spans="1:5" ht="29.1">
      <c r="A17" s="10">
        <v>45962</v>
      </c>
      <c r="B17" s="31" t="s">
        <v>32</v>
      </c>
      <c r="C17" s="3">
        <v>25</v>
      </c>
      <c r="D17" s="3">
        <v>35</v>
      </c>
      <c r="E17" s="11"/>
    </row>
    <row r="18" spans="1:5" ht="43.5">
      <c r="A18" s="10">
        <v>45992</v>
      </c>
      <c r="B18" s="30" t="s">
        <v>28</v>
      </c>
      <c r="C18" s="3"/>
      <c r="D18" s="3"/>
      <c r="E18" s="11"/>
    </row>
    <row r="19" spans="1:5" ht="29.1">
      <c r="A19" s="10">
        <v>45992</v>
      </c>
      <c r="B19" s="30" t="s">
        <v>29</v>
      </c>
      <c r="C19" s="3"/>
      <c r="D19" s="3"/>
      <c r="E19" s="11"/>
    </row>
    <row r="20" spans="1:5" ht="29.1">
      <c r="A20" s="10">
        <v>45992</v>
      </c>
      <c r="B20" s="30" t="s">
        <v>30</v>
      </c>
      <c r="C20" s="3"/>
      <c r="D20" s="3"/>
      <c r="E20" s="11"/>
    </row>
    <row r="21" spans="1:5" ht="29.1">
      <c r="A21" s="10">
        <v>45992</v>
      </c>
      <c r="B21" s="31" t="s">
        <v>31</v>
      </c>
      <c r="C21" s="3"/>
      <c r="D21" s="3"/>
      <c r="E21" s="11"/>
    </row>
    <row r="22" spans="1:5" ht="29.1">
      <c r="A22" s="10">
        <v>45992</v>
      </c>
      <c r="B22" s="31" t="s">
        <v>32</v>
      </c>
      <c r="C22" s="3"/>
      <c r="D22" s="3"/>
      <c r="E22" s="11"/>
    </row>
    <row r="23" spans="1:5">
      <c r="A23" s="10"/>
      <c r="B23" s="3"/>
      <c r="C23" s="3"/>
      <c r="D23" s="3"/>
      <c r="E23" s="11"/>
    </row>
    <row r="24" spans="1:5">
      <c r="A24" s="10"/>
      <c r="B24" s="3"/>
      <c r="C24" s="3"/>
      <c r="D24" s="3"/>
      <c r="E24" s="11"/>
    </row>
    <row r="25" spans="1:5" ht="15" thickBot="1">
      <c r="A25" s="12"/>
      <c r="B25" s="13"/>
      <c r="C25" s="34">
        <f t="shared" ref="C25:E25" si="0">SUM(C2:C18)</f>
        <v>5398</v>
      </c>
      <c r="D25" s="34">
        <f t="shared" si="0"/>
        <v>4515</v>
      </c>
      <c r="E25" s="13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2A7B-F618-4B86-B4E0-24F2AF2F619C}">
  <dimension ref="A1"/>
  <sheetViews>
    <sheetView workbookViewId="0">
      <selection activeCell="H26" sqref="H26"/>
    </sheetView>
  </sheetViews>
  <sheetFormatPr defaultRowHeight="14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A574-097A-46E4-BDBD-928441D4996D}">
  <dimension ref="A1"/>
  <sheetViews>
    <sheetView workbookViewId="0">
      <selection activeCell="I27" sqref="I27"/>
    </sheetView>
  </sheetViews>
  <sheetFormatPr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A2E4-0DD2-4F20-A341-7930B95B9CA9}">
  <sheetPr>
    <pageSetUpPr fitToPage="1"/>
  </sheetPr>
  <dimension ref="B2:G14"/>
  <sheetViews>
    <sheetView zoomScale="80" zoomScaleNormal="80" workbookViewId="0">
      <selection activeCell="D18" sqref="D18"/>
    </sheetView>
  </sheetViews>
  <sheetFormatPr defaultRowHeight="14.45"/>
  <cols>
    <col min="2" max="2" width="33.140625" customWidth="1"/>
    <col min="3" max="3" width="21.140625" customWidth="1"/>
    <col min="4" max="4" width="33.140625" customWidth="1"/>
    <col min="5" max="5" width="21.5703125" customWidth="1"/>
    <col min="6" max="6" width="36.140625" customWidth="1"/>
    <col min="7" max="7" width="23.5703125" customWidth="1"/>
  </cols>
  <sheetData>
    <row r="2" spans="2:7" ht="15" thickBot="1"/>
    <row r="3" spans="2:7" ht="120.95" customHeight="1">
      <c r="B3" s="16" t="s">
        <v>33</v>
      </c>
      <c r="C3" s="17" t="s">
        <v>34</v>
      </c>
      <c r="D3" s="18" t="s">
        <v>35</v>
      </c>
      <c r="E3" s="17" t="s">
        <v>34</v>
      </c>
      <c r="F3" s="18" t="s">
        <v>36</v>
      </c>
      <c r="G3" s="19" t="s">
        <v>34</v>
      </c>
    </row>
    <row r="4" spans="2:7" ht="28.5" customHeight="1">
      <c r="B4" s="20" t="s">
        <v>37</v>
      </c>
      <c r="C4" s="33">
        <f>'DSTI - DLHs(Master Table)'!C50+'DSTI - DLHs(Master Table)'!D50+EasySTEM!C25+EasySTEM!D25+'DSTI - DLHs(Master Table)'!O31+'DSTI - DLHs(Master Table)'!S31</f>
        <v>40769</v>
      </c>
      <c r="D4" s="15" t="s">
        <v>38</v>
      </c>
      <c r="E4" s="15"/>
      <c r="F4" s="15" t="s">
        <v>39</v>
      </c>
      <c r="G4" s="21">
        <v>25</v>
      </c>
    </row>
    <row r="5" spans="2:7">
      <c r="B5" s="22" t="s">
        <v>40</v>
      </c>
      <c r="C5" s="33">
        <v>2048</v>
      </c>
      <c r="D5" s="15" t="s">
        <v>41</v>
      </c>
      <c r="E5" s="15"/>
      <c r="F5" s="15" t="s">
        <v>42</v>
      </c>
      <c r="G5" s="21">
        <v>25</v>
      </c>
    </row>
    <row r="6" spans="2:7" ht="32.450000000000003" customHeight="1">
      <c r="B6" s="22" t="s">
        <v>43</v>
      </c>
      <c r="C6" s="33">
        <v>2049</v>
      </c>
      <c r="D6" s="14" t="s">
        <v>44</v>
      </c>
      <c r="E6" s="14"/>
      <c r="F6" s="15" t="s">
        <v>45</v>
      </c>
      <c r="G6" s="23">
        <v>20</v>
      </c>
    </row>
    <row r="7" spans="2:7">
      <c r="B7" s="22" t="s">
        <v>46</v>
      </c>
      <c r="C7" s="33"/>
      <c r="D7" s="15" t="s">
        <v>47</v>
      </c>
      <c r="E7" s="15"/>
      <c r="F7" s="15" t="s">
        <v>48</v>
      </c>
      <c r="G7" s="21">
        <v>50</v>
      </c>
    </row>
    <row r="8" spans="2:7">
      <c r="B8" s="22" t="s">
        <v>49</v>
      </c>
      <c r="C8" s="33">
        <v>13500</v>
      </c>
      <c r="D8" s="15" t="s">
        <v>50</v>
      </c>
      <c r="E8" s="15"/>
      <c r="F8" s="15" t="s">
        <v>51</v>
      </c>
      <c r="G8" s="21">
        <v>3</v>
      </c>
    </row>
    <row r="9" spans="2:7">
      <c r="B9" s="22"/>
      <c r="C9" s="33"/>
      <c r="D9" s="15" t="s">
        <v>52</v>
      </c>
      <c r="E9" s="15"/>
      <c r="F9" s="15" t="s">
        <v>53</v>
      </c>
      <c r="G9" s="21">
        <v>11</v>
      </c>
    </row>
    <row r="10" spans="2:7">
      <c r="B10" s="22"/>
      <c r="C10" s="33"/>
      <c r="D10" s="15" t="s">
        <v>54</v>
      </c>
      <c r="E10" s="15"/>
      <c r="F10" s="15" t="s">
        <v>55</v>
      </c>
      <c r="G10" s="21">
        <v>30</v>
      </c>
    </row>
    <row r="11" spans="2:7">
      <c r="B11" s="24"/>
      <c r="C11" s="33"/>
      <c r="D11" s="25" t="s">
        <v>56</v>
      </c>
      <c r="E11" s="25"/>
      <c r="F11" s="25" t="s">
        <v>57</v>
      </c>
      <c r="G11" s="26">
        <v>218</v>
      </c>
    </row>
    <row r="12" spans="2:7">
      <c r="B12" s="24"/>
      <c r="C12" s="33"/>
      <c r="D12" s="25" t="s">
        <v>55</v>
      </c>
      <c r="E12" s="25"/>
      <c r="F12" s="25"/>
      <c r="G12" s="26"/>
    </row>
    <row r="13" spans="2:7" ht="15" thickBot="1">
      <c r="B13" s="24"/>
      <c r="C13" s="33"/>
      <c r="D13" s="25"/>
      <c r="E13" s="25"/>
      <c r="F13" s="25"/>
      <c r="G13" s="26"/>
    </row>
    <row r="14" spans="2:7" ht="15" thickBot="1">
      <c r="B14" s="27" t="s">
        <v>58</v>
      </c>
      <c r="C14" s="28">
        <f>SUM(C4:C13)</f>
        <v>58366</v>
      </c>
      <c r="D14" s="27" t="s">
        <v>58</v>
      </c>
      <c r="E14" s="28">
        <f>COUNTA(D4:D13)</f>
        <v>9</v>
      </c>
      <c r="F14" s="27" t="s">
        <v>58</v>
      </c>
      <c r="G14" s="28">
        <f>SUM(G4:G13)</f>
        <v>382</v>
      </c>
    </row>
  </sheetData>
  <pageMargins left="0.7" right="0.7" top="0.75" bottom="0.75" header="0.3" footer="0.3"/>
  <pageSetup scale="6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69C0-067A-4B5F-ADBD-8CC78B2E33D3}">
  <dimension ref="A1:F14"/>
  <sheetViews>
    <sheetView zoomScale="110" zoomScaleNormal="110" workbookViewId="0">
      <pane xSplit="4" ySplit="1" topLeftCell="E2" activePane="bottomRight" state="frozen"/>
      <selection pane="bottomRight" activeCell="I20" sqref="I20"/>
      <selection pane="bottomLeft" activeCell="A2" sqref="A2"/>
      <selection pane="topRight" activeCell="E1" sqref="E1"/>
    </sheetView>
  </sheetViews>
  <sheetFormatPr defaultRowHeight="14.45"/>
  <cols>
    <col min="1" max="1" width="28" bestFit="1" customWidth="1"/>
    <col min="2" max="2" width="31.5703125" bestFit="1" customWidth="1"/>
    <col min="6" max="6" width="19.140625" bestFit="1" customWidth="1"/>
  </cols>
  <sheetData>
    <row r="1" spans="1:6">
      <c r="A1" s="15" t="s">
        <v>59</v>
      </c>
      <c r="B1" s="15" t="s">
        <v>60</v>
      </c>
      <c r="C1" s="15" t="s">
        <v>3</v>
      </c>
      <c r="D1" s="15" t="s">
        <v>2</v>
      </c>
      <c r="E1" s="15" t="s">
        <v>25</v>
      </c>
      <c r="F1" s="15" t="s">
        <v>61</v>
      </c>
    </row>
    <row r="2" spans="1:6">
      <c r="A2" s="36">
        <v>45699</v>
      </c>
      <c r="B2" s="15" t="s">
        <v>62</v>
      </c>
      <c r="C2" s="37">
        <v>188</v>
      </c>
      <c r="D2" s="37">
        <v>626</v>
      </c>
      <c r="E2" s="37">
        <f t="shared" ref="E2:E13" si="0">SUM(C2,D2)</f>
        <v>814</v>
      </c>
      <c r="F2" s="15" t="s">
        <v>63</v>
      </c>
    </row>
    <row r="3" spans="1:6">
      <c r="A3" s="36">
        <v>45788</v>
      </c>
      <c r="B3" s="15" t="s">
        <v>64</v>
      </c>
      <c r="C3" s="37">
        <v>545</v>
      </c>
      <c r="D3" s="37">
        <v>1722</v>
      </c>
      <c r="E3" s="37">
        <f t="shared" si="0"/>
        <v>2267</v>
      </c>
      <c r="F3" s="15" t="s">
        <v>63</v>
      </c>
    </row>
    <row r="4" spans="1:6">
      <c r="A4" s="36">
        <v>45842</v>
      </c>
      <c r="B4" s="15" t="s">
        <v>65</v>
      </c>
      <c r="C4" s="37">
        <v>70</v>
      </c>
      <c r="D4" s="37">
        <v>148</v>
      </c>
      <c r="E4" s="37">
        <f t="shared" si="0"/>
        <v>218</v>
      </c>
      <c r="F4" s="15" t="s">
        <v>63</v>
      </c>
    </row>
    <row r="5" spans="1:6" ht="29.1">
      <c r="A5" s="36">
        <v>45848</v>
      </c>
      <c r="B5" s="41" t="s">
        <v>66</v>
      </c>
      <c r="C5" s="37">
        <v>56</v>
      </c>
      <c r="D5" s="37">
        <v>87</v>
      </c>
      <c r="E5" s="37">
        <f t="shared" si="0"/>
        <v>143</v>
      </c>
      <c r="F5" s="15" t="s">
        <v>67</v>
      </c>
    </row>
    <row r="6" spans="1:6">
      <c r="A6" s="36">
        <v>45855</v>
      </c>
      <c r="B6" s="15" t="s">
        <v>68</v>
      </c>
      <c r="C6" s="37">
        <v>234</v>
      </c>
      <c r="D6" s="37">
        <v>737</v>
      </c>
      <c r="E6" s="37">
        <f t="shared" si="0"/>
        <v>971</v>
      </c>
      <c r="F6" s="15" t="s">
        <v>63</v>
      </c>
    </row>
    <row r="7" spans="1:6">
      <c r="A7" s="36">
        <v>45863</v>
      </c>
      <c r="B7" s="15" t="s">
        <v>69</v>
      </c>
      <c r="C7" s="37">
        <v>78</v>
      </c>
      <c r="D7" s="37">
        <v>116</v>
      </c>
      <c r="E7" s="37">
        <f t="shared" si="0"/>
        <v>194</v>
      </c>
      <c r="F7" s="15" t="s">
        <v>70</v>
      </c>
    </row>
    <row r="8" spans="1:6">
      <c r="A8" s="36">
        <v>45896</v>
      </c>
      <c r="B8" s="15" t="s">
        <v>71</v>
      </c>
      <c r="C8" s="37">
        <v>62</v>
      </c>
      <c r="D8" s="37">
        <v>72</v>
      </c>
      <c r="E8" s="37">
        <f t="shared" si="0"/>
        <v>134</v>
      </c>
      <c r="F8" s="15" t="s">
        <v>63</v>
      </c>
    </row>
    <row r="9" spans="1:6">
      <c r="A9" s="36">
        <v>45946</v>
      </c>
      <c r="B9" s="15" t="s">
        <v>72</v>
      </c>
      <c r="C9" s="37">
        <v>272</v>
      </c>
      <c r="D9" s="37">
        <v>909</v>
      </c>
      <c r="E9" s="37">
        <f t="shared" si="0"/>
        <v>1181</v>
      </c>
      <c r="F9" s="15" t="s">
        <v>63</v>
      </c>
    </row>
    <row r="10" spans="1:6">
      <c r="A10" s="36">
        <v>45972</v>
      </c>
      <c r="B10" s="15" t="s">
        <v>73</v>
      </c>
      <c r="C10" s="37">
        <v>32</v>
      </c>
      <c r="D10" s="37">
        <v>85</v>
      </c>
      <c r="E10" s="37">
        <f t="shared" si="0"/>
        <v>117</v>
      </c>
      <c r="F10" s="15" t="s">
        <v>63</v>
      </c>
    </row>
    <row r="11" spans="1:6">
      <c r="A11" s="36">
        <v>45980</v>
      </c>
      <c r="B11" s="15" t="s">
        <v>74</v>
      </c>
      <c r="C11" s="37">
        <v>191</v>
      </c>
      <c r="D11" s="37">
        <v>541</v>
      </c>
      <c r="E11" s="37">
        <f t="shared" si="0"/>
        <v>732</v>
      </c>
      <c r="F11" s="15" t="s">
        <v>63</v>
      </c>
    </row>
    <row r="12" spans="1:6">
      <c r="A12" s="36">
        <v>46003</v>
      </c>
      <c r="B12" s="15" t="s">
        <v>75</v>
      </c>
      <c r="C12" s="37">
        <v>61</v>
      </c>
      <c r="D12" s="37">
        <v>215</v>
      </c>
      <c r="E12" s="37">
        <f t="shared" si="0"/>
        <v>276</v>
      </c>
      <c r="F12" s="15" t="s">
        <v>63</v>
      </c>
    </row>
    <row r="13" spans="1:6">
      <c r="A13" s="36">
        <v>46006</v>
      </c>
      <c r="B13" s="15" t="s">
        <v>76</v>
      </c>
      <c r="C13" s="37">
        <v>257</v>
      </c>
      <c r="D13" s="37">
        <v>1091</v>
      </c>
      <c r="E13" s="37">
        <f t="shared" si="0"/>
        <v>1348</v>
      </c>
      <c r="F13" s="15" t="s">
        <v>63</v>
      </c>
    </row>
    <row r="14" spans="1:6">
      <c r="A14" s="39"/>
      <c r="B14" s="40" t="s">
        <v>58</v>
      </c>
      <c r="C14" s="38">
        <f>SUM(C2:C13)</f>
        <v>2046</v>
      </c>
      <c r="D14" s="38">
        <f>SUM(D2:D13)</f>
        <v>6349</v>
      </c>
      <c r="E14" s="38">
        <f>SUM(E2:E13)</f>
        <v>8395</v>
      </c>
      <c r="F14" s="15"/>
    </row>
  </sheetData>
  <autoFilter ref="A1:F1" xr:uid="{239D69C0-067A-4B5F-ADBD-8CC78B2E33D3}">
    <sortState xmlns:xlrd2="http://schemas.microsoft.com/office/spreadsheetml/2017/richdata2" ref="A2:F14">
      <sortCondition ref="A1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538A-2D62-455F-860A-6F72BB245514}">
  <dimension ref="A1:E49"/>
  <sheetViews>
    <sheetView workbookViewId="0">
      <selection activeCell="E9" sqref="E9"/>
    </sheetView>
  </sheetViews>
  <sheetFormatPr defaultRowHeight="14.45"/>
  <cols>
    <col min="2" max="2" width="12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 spans="1:5">
      <c r="A2" s="2">
        <v>45658</v>
      </c>
      <c r="B2" t="s">
        <v>12</v>
      </c>
    </row>
    <row r="3" spans="1:5">
      <c r="A3" s="2">
        <v>45658</v>
      </c>
      <c r="B3" t="s">
        <v>13</v>
      </c>
    </row>
    <row r="4" spans="1:5">
      <c r="A4" s="2">
        <v>45658</v>
      </c>
      <c r="B4" t="s">
        <v>14</v>
      </c>
    </row>
    <row r="5" spans="1:5">
      <c r="A5" s="2">
        <v>45658</v>
      </c>
      <c r="B5" t="s">
        <v>15</v>
      </c>
    </row>
    <row r="6" spans="1:5">
      <c r="A6" s="2">
        <v>45689</v>
      </c>
      <c r="B6" t="s">
        <v>12</v>
      </c>
    </row>
    <row r="7" spans="1:5">
      <c r="A7" s="2">
        <v>45689</v>
      </c>
      <c r="B7" t="s">
        <v>13</v>
      </c>
    </row>
    <row r="8" spans="1:5">
      <c r="A8" s="2">
        <v>45689</v>
      </c>
      <c r="B8" t="s">
        <v>14</v>
      </c>
    </row>
    <row r="9" spans="1:5">
      <c r="A9" s="2">
        <v>45689</v>
      </c>
      <c r="B9" t="s">
        <v>15</v>
      </c>
    </row>
    <row r="10" spans="1:5">
      <c r="A10" s="2">
        <v>45717</v>
      </c>
      <c r="B10" t="s">
        <v>12</v>
      </c>
    </row>
    <row r="11" spans="1:5">
      <c r="A11" s="2">
        <v>45717</v>
      </c>
      <c r="B11" t="s">
        <v>13</v>
      </c>
    </row>
    <row r="12" spans="1:5">
      <c r="A12" s="2">
        <v>45717</v>
      </c>
      <c r="B12" t="s">
        <v>14</v>
      </c>
    </row>
    <row r="13" spans="1:5">
      <c r="A13" s="2">
        <v>45717</v>
      </c>
      <c r="B13" t="s">
        <v>15</v>
      </c>
    </row>
    <row r="14" spans="1:5">
      <c r="A14" s="2">
        <v>45748</v>
      </c>
      <c r="B14" t="s">
        <v>12</v>
      </c>
    </row>
    <row r="15" spans="1:5">
      <c r="A15" s="2">
        <v>45748</v>
      </c>
      <c r="B15" t="s">
        <v>13</v>
      </c>
    </row>
    <row r="16" spans="1:5">
      <c r="A16" s="2">
        <v>45748</v>
      </c>
      <c r="B16" t="s">
        <v>14</v>
      </c>
    </row>
    <row r="17" spans="1:2">
      <c r="A17" s="2">
        <v>45748</v>
      </c>
      <c r="B17" t="s">
        <v>15</v>
      </c>
    </row>
    <row r="18" spans="1:2">
      <c r="A18" s="2">
        <v>45778</v>
      </c>
      <c r="B18" t="s">
        <v>12</v>
      </c>
    </row>
    <row r="19" spans="1:2">
      <c r="A19" s="2">
        <v>45778</v>
      </c>
      <c r="B19" t="s">
        <v>13</v>
      </c>
    </row>
    <row r="20" spans="1:2">
      <c r="A20" s="2">
        <v>45778</v>
      </c>
      <c r="B20" t="s">
        <v>14</v>
      </c>
    </row>
    <row r="21" spans="1:2">
      <c r="A21" s="2">
        <v>45778</v>
      </c>
      <c r="B21" t="s">
        <v>15</v>
      </c>
    </row>
    <row r="22" spans="1:2">
      <c r="A22" s="2">
        <v>45809</v>
      </c>
      <c r="B22" t="s">
        <v>12</v>
      </c>
    </row>
    <row r="23" spans="1:2">
      <c r="A23" s="2">
        <v>45809</v>
      </c>
      <c r="B23" t="s">
        <v>13</v>
      </c>
    </row>
    <row r="24" spans="1:2">
      <c r="A24" s="2">
        <v>45809</v>
      </c>
      <c r="B24" t="s">
        <v>14</v>
      </c>
    </row>
    <row r="25" spans="1:2">
      <c r="A25" s="2">
        <v>45809</v>
      </c>
      <c r="B25" t="s">
        <v>15</v>
      </c>
    </row>
    <row r="26" spans="1:2">
      <c r="A26" s="2">
        <v>45839</v>
      </c>
      <c r="B26" t="s">
        <v>12</v>
      </c>
    </row>
    <row r="27" spans="1:2">
      <c r="A27" s="2">
        <v>45839</v>
      </c>
      <c r="B27" t="s">
        <v>13</v>
      </c>
    </row>
    <row r="28" spans="1:2">
      <c r="A28" s="2">
        <v>45839</v>
      </c>
      <c r="B28" t="s">
        <v>14</v>
      </c>
    </row>
    <row r="29" spans="1:2">
      <c r="A29" s="2">
        <v>45839</v>
      </c>
      <c r="B29" t="s">
        <v>15</v>
      </c>
    </row>
    <row r="30" spans="1:2">
      <c r="A30" s="2">
        <v>45870</v>
      </c>
      <c r="B30" t="s">
        <v>12</v>
      </c>
    </row>
    <row r="31" spans="1:2">
      <c r="A31" s="2">
        <v>45870</v>
      </c>
      <c r="B31" t="s">
        <v>13</v>
      </c>
    </row>
    <row r="32" spans="1:2">
      <c r="A32" s="2">
        <v>45870</v>
      </c>
      <c r="B32" t="s">
        <v>14</v>
      </c>
    </row>
    <row r="33" spans="1:2">
      <c r="A33" s="2">
        <v>45870</v>
      </c>
      <c r="B33" t="s">
        <v>15</v>
      </c>
    </row>
    <row r="34" spans="1:2">
      <c r="A34" s="2">
        <v>45901</v>
      </c>
      <c r="B34" t="s">
        <v>12</v>
      </c>
    </row>
    <row r="35" spans="1:2">
      <c r="A35" s="2">
        <v>45901</v>
      </c>
      <c r="B35" t="s">
        <v>13</v>
      </c>
    </row>
    <row r="36" spans="1:2">
      <c r="A36" s="2">
        <v>45901</v>
      </c>
      <c r="B36" t="s">
        <v>14</v>
      </c>
    </row>
    <row r="37" spans="1:2">
      <c r="A37" s="2">
        <v>45901</v>
      </c>
      <c r="B37" t="s">
        <v>15</v>
      </c>
    </row>
    <row r="38" spans="1:2">
      <c r="A38" s="2">
        <v>45931</v>
      </c>
      <c r="B38" t="s">
        <v>12</v>
      </c>
    </row>
    <row r="39" spans="1:2">
      <c r="A39" s="2">
        <v>45931</v>
      </c>
      <c r="B39" t="s">
        <v>13</v>
      </c>
    </row>
    <row r="40" spans="1:2">
      <c r="A40" s="2">
        <v>45931</v>
      </c>
      <c r="B40" t="s">
        <v>14</v>
      </c>
    </row>
    <row r="41" spans="1:2">
      <c r="A41" s="2">
        <v>45931</v>
      </c>
      <c r="B41" t="s">
        <v>15</v>
      </c>
    </row>
    <row r="42" spans="1:2">
      <c r="A42" s="2">
        <v>45962</v>
      </c>
      <c r="B42" t="s">
        <v>12</v>
      </c>
    </row>
    <row r="43" spans="1:2">
      <c r="A43" s="2">
        <v>45962</v>
      </c>
      <c r="B43" t="s">
        <v>13</v>
      </c>
    </row>
    <row r="44" spans="1:2">
      <c r="A44" s="2">
        <v>45962</v>
      </c>
      <c r="B44" t="s">
        <v>14</v>
      </c>
    </row>
    <row r="45" spans="1:2">
      <c r="A45" s="2">
        <v>45962</v>
      </c>
      <c r="B45" t="s">
        <v>15</v>
      </c>
    </row>
    <row r="46" spans="1:2">
      <c r="A46" s="2">
        <v>45992</v>
      </c>
      <c r="B46" t="s">
        <v>12</v>
      </c>
    </row>
    <row r="47" spans="1:2">
      <c r="A47" s="2">
        <v>45992</v>
      </c>
      <c r="B47" t="s">
        <v>13</v>
      </c>
    </row>
    <row r="48" spans="1:2">
      <c r="A48" s="2">
        <v>45992</v>
      </c>
      <c r="B48" t="s">
        <v>14</v>
      </c>
    </row>
    <row r="49" spans="1:2">
      <c r="A49" s="2">
        <v>45992</v>
      </c>
      <c r="B49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22A6-A6AE-4D9C-AA4F-C48E99DDE27C}">
  <dimension ref="A1:E49"/>
  <sheetViews>
    <sheetView workbookViewId="0">
      <selection activeCell="A2" sqref="A2:B49"/>
    </sheetView>
  </sheetViews>
  <sheetFormatPr defaultRowHeight="14.45"/>
  <cols>
    <col min="2" max="2" width="12.85546875" bestFit="1" customWidth="1"/>
  </cols>
  <sheetData>
    <row r="1" spans="1:5">
      <c r="A1" s="1" t="s">
        <v>0</v>
      </c>
      <c r="B1" s="1" t="s">
        <v>1</v>
      </c>
      <c r="C1" s="1" t="s">
        <v>4</v>
      </c>
      <c r="D1" s="1" t="s">
        <v>5</v>
      </c>
      <c r="E1" s="1" t="s">
        <v>11</v>
      </c>
    </row>
    <row r="2" spans="1:5">
      <c r="A2" s="2">
        <v>45658</v>
      </c>
      <c r="B2" t="s">
        <v>12</v>
      </c>
    </row>
    <row r="3" spans="1:5">
      <c r="A3" s="2">
        <v>45658</v>
      </c>
      <c r="B3" t="s">
        <v>13</v>
      </c>
    </row>
    <row r="4" spans="1:5">
      <c r="A4" s="2">
        <v>45658</v>
      </c>
      <c r="B4" t="s">
        <v>14</v>
      </c>
    </row>
    <row r="5" spans="1:5">
      <c r="A5" s="2">
        <v>45658</v>
      </c>
      <c r="B5" t="s">
        <v>15</v>
      </c>
    </row>
    <row r="6" spans="1:5">
      <c r="A6" s="2">
        <v>45689</v>
      </c>
      <c r="B6" t="s">
        <v>12</v>
      </c>
    </row>
    <row r="7" spans="1:5">
      <c r="A7" s="2">
        <v>45689</v>
      </c>
      <c r="B7" t="s">
        <v>13</v>
      </c>
    </row>
    <row r="8" spans="1:5">
      <c r="A8" s="2">
        <v>45689</v>
      </c>
      <c r="B8" t="s">
        <v>14</v>
      </c>
    </row>
    <row r="9" spans="1:5">
      <c r="A9" s="2">
        <v>45689</v>
      </c>
      <c r="B9" t="s">
        <v>15</v>
      </c>
    </row>
    <row r="10" spans="1:5">
      <c r="A10" s="2">
        <v>45717</v>
      </c>
      <c r="B10" t="s">
        <v>12</v>
      </c>
    </row>
    <row r="11" spans="1:5">
      <c r="A11" s="2">
        <v>45717</v>
      </c>
      <c r="B11" t="s">
        <v>13</v>
      </c>
    </row>
    <row r="12" spans="1:5">
      <c r="A12" s="2">
        <v>45717</v>
      </c>
      <c r="B12" t="s">
        <v>14</v>
      </c>
    </row>
    <row r="13" spans="1:5">
      <c r="A13" s="2">
        <v>45717</v>
      </c>
      <c r="B13" t="s">
        <v>15</v>
      </c>
    </row>
    <row r="14" spans="1:5">
      <c r="A14" s="2">
        <v>45748</v>
      </c>
      <c r="B14" t="s">
        <v>12</v>
      </c>
    </row>
    <row r="15" spans="1:5">
      <c r="A15" s="2">
        <v>45748</v>
      </c>
      <c r="B15" t="s">
        <v>13</v>
      </c>
    </row>
    <row r="16" spans="1:5">
      <c r="A16" s="2">
        <v>45748</v>
      </c>
      <c r="B16" t="s">
        <v>14</v>
      </c>
    </row>
    <row r="17" spans="1:2">
      <c r="A17" s="2">
        <v>45748</v>
      </c>
      <c r="B17" t="s">
        <v>15</v>
      </c>
    </row>
    <row r="18" spans="1:2">
      <c r="A18" s="2">
        <v>45778</v>
      </c>
      <c r="B18" t="s">
        <v>12</v>
      </c>
    </row>
    <row r="19" spans="1:2">
      <c r="A19" s="2">
        <v>45778</v>
      </c>
      <c r="B19" t="s">
        <v>13</v>
      </c>
    </row>
    <row r="20" spans="1:2">
      <c r="A20" s="2">
        <v>45778</v>
      </c>
      <c r="B20" t="s">
        <v>14</v>
      </c>
    </row>
    <row r="21" spans="1:2">
      <c r="A21" s="2">
        <v>45778</v>
      </c>
      <c r="B21" t="s">
        <v>15</v>
      </c>
    </row>
    <row r="22" spans="1:2">
      <c r="A22" s="2">
        <v>45809</v>
      </c>
      <c r="B22" t="s">
        <v>12</v>
      </c>
    </row>
    <row r="23" spans="1:2">
      <c r="A23" s="2">
        <v>45809</v>
      </c>
      <c r="B23" t="s">
        <v>13</v>
      </c>
    </row>
    <row r="24" spans="1:2">
      <c r="A24" s="2">
        <v>45809</v>
      </c>
      <c r="B24" t="s">
        <v>14</v>
      </c>
    </row>
    <row r="25" spans="1:2">
      <c r="A25" s="2">
        <v>45809</v>
      </c>
      <c r="B25" t="s">
        <v>15</v>
      </c>
    </row>
    <row r="26" spans="1:2">
      <c r="A26" s="2">
        <v>45839</v>
      </c>
      <c r="B26" t="s">
        <v>12</v>
      </c>
    </row>
    <row r="27" spans="1:2">
      <c r="A27" s="2">
        <v>45839</v>
      </c>
      <c r="B27" t="s">
        <v>13</v>
      </c>
    </row>
    <row r="28" spans="1:2">
      <c r="A28" s="2">
        <v>45839</v>
      </c>
      <c r="B28" t="s">
        <v>14</v>
      </c>
    </row>
    <row r="29" spans="1:2">
      <c r="A29" s="2">
        <v>45839</v>
      </c>
      <c r="B29" t="s">
        <v>15</v>
      </c>
    </row>
    <row r="30" spans="1:2">
      <c r="A30" s="2">
        <v>45870</v>
      </c>
      <c r="B30" t="s">
        <v>12</v>
      </c>
    </row>
    <row r="31" spans="1:2">
      <c r="A31" s="2">
        <v>45870</v>
      </c>
      <c r="B31" t="s">
        <v>13</v>
      </c>
    </row>
    <row r="32" spans="1:2">
      <c r="A32" s="2">
        <v>45870</v>
      </c>
      <c r="B32" t="s">
        <v>14</v>
      </c>
    </row>
    <row r="33" spans="1:2">
      <c r="A33" s="2">
        <v>45870</v>
      </c>
      <c r="B33" t="s">
        <v>15</v>
      </c>
    </row>
    <row r="34" spans="1:2">
      <c r="A34" s="2">
        <v>45901</v>
      </c>
      <c r="B34" t="s">
        <v>12</v>
      </c>
    </row>
    <row r="35" spans="1:2">
      <c r="A35" s="2">
        <v>45901</v>
      </c>
      <c r="B35" t="s">
        <v>13</v>
      </c>
    </row>
    <row r="36" spans="1:2">
      <c r="A36" s="2">
        <v>45901</v>
      </c>
      <c r="B36" t="s">
        <v>14</v>
      </c>
    </row>
    <row r="37" spans="1:2">
      <c r="A37" s="2">
        <v>45901</v>
      </c>
      <c r="B37" t="s">
        <v>15</v>
      </c>
    </row>
    <row r="38" spans="1:2">
      <c r="A38" s="2">
        <v>45931</v>
      </c>
      <c r="B38" t="s">
        <v>12</v>
      </c>
    </row>
    <row r="39" spans="1:2">
      <c r="A39" s="2">
        <v>45931</v>
      </c>
      <c r="B39" t="s">
        <v>13</v>
      </c>
    </row>
    <row r="40" spans="1:2">
      <c r="A40" s="2">
        <v>45931</v>
      </c>
      <c r="B40" t="s">
        <v>14</v>
      </c>
    </row>
    <row r="41" spans="1:2">
      <c r="A41" s="2">
        <v>45931</v>
      </c>
      <c r="B41" t="s">
        <v>15</v>
      </c>
    </row>
    <row r="42" spans="1:2">
      <c r="A42" s="2">
        <v>45962</v>
      </c>
      <c r="B42" t="s">
        <v>12</v>
      </c>
    </row>
    <row r="43" spans="1:2">
      <c r="A43" s="2">
        <v>45962</v>
      </c>
      <c r="B43" t="s">
        <v>13</v>
      </c>
    </row>
    <row r="44" spans="1:2">
      <c r="A44" s="2">
        <v>45962</v>
      </c>
      <c r="B44" t="s">
        <v>14</v>
      </c>
    </row>
    <row r="45" spans="1:2">
      <c r="A45" s="2">
        <v>45962</v>
      </c>
      <c r="B45" t="s">
        <v>15</v>
      </c>
    </row>
    <row r="46" spans="1:2">
      <c r="A46" s="2">
        <v>45992</v>
      </c>
      <c r="B46" t="s">
        <v>12</v>
      </c>
    </row>
    <row r="47" spans="1:2">
      <c r="A47" s="2">
        <v>45992</v>
      </c>
      <c r="B47" t="s">
        <v>13</v>
      </c>
    </row>
    <row r="48" spans="1:2">
      <c r="A48" s="2">
        <v>45992</v>
      </c>
      <c r="B48" t="s">
        <v>14</v>
      </c>
    </row>
    <row r="49" spans="1:2">
      <c r="A49" s="2">
        <v>45992</v>
      </c>
      <c r="B49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7EA9-7B37-44D6-8852-7E62C34870B0}">
  <dimension ref="A1:H49"/>
  <sheetViews>
    <sheetView workbookViewId="0">
      <selection activeCell="G8" sqref="G8"/>
    </sheetView>
  </sheetViews>
  <sheetFormatPr defaultRowHeight="14.45"/>
  <cols>
    <col min="2" max="2" width="12.85546875" bestFit="1" customWidth="1"/>
  </cols>
  <sheetData>
    <row r="1" spans="1:8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s="2">
        <v>45658</v>
      </c>
      <c r="B2" t="s">
        <v>12</v>
      </c>
    </row>
    <row r="3" spans="1:8">
      <c r="A3" s="2">
        <v>45658</v>
      </c>
      <c r="B3" t="s">
        <v>13</v>
      </c>
    </row>
    <row r="4" spans="1:8">
      <c r="A4" s="2">
        <v>45658</v>
      </c>
      <c r="B4" t="s">
        <v>14</v>
      </c>
    </row>
    <row r="5" spans="1:8">
      <c r="A5" s="2">
        <v>45658</v>
      </c>
      <c r="B5" t="s">
        <v>15</v>
      </c>
    </row>
    <row r="6" spans="1:8">
      <c r="A6" s="2">
        <v>45689</v>
      </c>
      <c r="B6" t="s">
        <v>12</v>
      </c>
    </row>
    <row r="7" spans="1:8">
      <c r="A7" s="2">
        <v>45689</v>
      </c>
      <c r="B7" t="s">
        <v>13</v>
      </c>
    </row>
    <row r="8" spans="1:8">
      <c r="A8" s="2">
        <v>45689</v>
      </c>
      <c r="B8" t="s">
        <v>14</v>
      </c>
    </row>
    <row r="9" spans="1:8">
      <c r="A9" s="2">
        <v>45689</v>
      </c>
      <c r="B9" t="s">
        <v>15</v>
      </c>
    </row>
    <row r="10" spans="1:8">
      <c r="A10" s="2">
        <v>45717</v>
      </c>
      <c r="B10" t="s">
        <v>12</v>
      </c>
    </row>
    <row r="11" spans="1:8">
      <c r="A11" s="2">
        <v>45717</v>
      </c>
      <c r="B11" t="s">
        <v>13</v>
      </c>
    </row>
    <row r="12" spans="1:8">
      <c r="A12" s="2">
        <v>45717</v>
      </c>
      <c r="B12" t="s">
        <v>14</v>
      </c>
    </row>
    <row r="13" spans="1:8">
      <c r="A13" s="2">
        <v>45717</v>
      </c>
      <c r="B13" t="s">
        <v>15</v>
      </c>
    </row>
    <row r="14" spans="1:8">
      <c r="A14" s="2">
        <v>45748</v>
      </c>
      <c r="B14" t="s">
        <v>12</v>
      </c>
    </row>
    <row r="15" spans="1:8">
      <c r="A15" s="2">
        <v>45748</v>
      </c>
      <c r="B15" t="s">
        <v>13</v>
      </c>
    </row>
    <row r="16" spans="1:8">
      <c r="A16" s="2">
        <v>45748</v>
      </c>
      <c r="B16" t="s">
        <v>14</v>
      </c>
    </row>
    <row r="17" spans="1:2">
      <c r="A17" s="2">
        <v>45748</v>
      </c>
      <c r="B17" t="s">
        <v>15</v>
      </c>
    </row>
    <row r="18" spans="1:2">
      <c r="A18" s="2">
        <v>45778</v>
      </c>
      <c r="B18" t="s">
        <v>12</v>
      </c>
    </row>
    <row r="19" spans="1:2">
      <c r="A19" s="2">
        <v>45778</v>
      </c>
      <c r="B19" t="s">
        <v>13</v>
      </c>
    </row>
    <row r="20" spans="1:2">
      <c r="A20" s="2">
        <v>45778</v>
      </c>
      <c r="B20" t="s">
        <v>14</v>
      </c>
    </row>
    <row r="21" spans="1:2">
      <c r="A21" s="2">
        <v>45778</v>
      </c>
      <c r="B21" t="s">
        <v>15</v>
      </c>
    </row>
    <row r="22" spans="1:2">
      <c r="A22" s="2">
        <v>45809</v>
      </c>
      <c r="B22" t="s">
        <v>12</v>
      </c>
    </row>
    <row r="23" spans="1:2">
      <c r="A23" s="2">
        <v>45809</v>
      </c>
      <c r="B23" t="s">
        <v>13</v>
      </c>
    </row>
    <row r="24" spans="1:2">
      <c r="A24" s="2">
        <v>45809</v>
      </c>
      <c r="B24" t="s">
        <v>14</v>
      </c>
    </row>
    <row r="25" spans="1:2">
      <c r="A25" s="2">
        <v>45809</v>
      </c>
      <c r="B25" t="s">
        <v>15</v>
      </c>
    </row>
    <row r="26" spans="1:2">
      <c r="A26" s="2">
        <v>45839</v>
      </c>
      <c r="B26" t="s">
        <v>12</v>
      </c>
    </row>
    <row r="27" spans="1:2">
      <c r="A27" s="2">
        <v>45839</v>
      </c>
      <c r="B27" t="s">
        <v>13</v>
      </c>
    </row>
    <row r="28" spans="1:2">
      <c r="A28" s="2">
        <v>45839</v>
      </c>
      <c r="B28" t="s">
        <v>14</v>
      </c>
    </row>
    <row r="29" spans="1:2">
      <c r="A29" s="2">
        <v>45839</v>
      </c>
      <c r="B29" t="s">
        <v>15</v>
      </c>
    </row>
    <row r="30" spans="1:2">
      <c r="A30" s="2">
        <v>45870</v>
      </c>
      <c r="B30" t="s">
        <v>12</v>
      </c>
    </row>
    <row r="31" spans="1:2">
      <c r="A31" s="2">
        <v>45870</v>
      </c>
      <c r="B31" t="s">
        <v>13</v>
      </c>
    </row>
    <row r="32" spans="1:2">
      <c r="A32" s="2">
        <v>45870</v>
      </c>
      <c r="B32" t="s">
        <v>14</v>
      </c>
    </row>
    <row r="33" spans="1:2">
      <c r="A33" s="2">
        <v>45870</v>
      </c>
      <c r="B33" t="s">
        <v>15</v>
      </c>
    </row>
    <row r="34" spans="1:2">
      <c r="A34" s="2">
        <v>45901</v>
      </c>
      <c r="B34" t="s">
        <v>12</v>
      </c>
    </row>
    <row r="35" spans="1:2">
      <c r="A35" s="2">
        <v>45901</v>
      </c>
      <c r="B35" t="s">
        <v>13</v>
      </c>
    </row>
    <row r="36" spans="1:2">
      <c r="A36" s="2">
        <v>45901</v>
      </c>
      <c r="B36" t="s">
        <v>14</v>
      </c>
    </row>
    <row r="37" spans="1:2">
      <c r="A37" s="2">
        <v>45901</v>
      </c>
      <c r="B37" t="s">
        <v>15</v>
      </c>
    </row>
    <row r="38" spans="1:2">
      <c r="A38" s="2">
        <v>45931</v>
      </c>
      <c r="B38" t="s">
        <v>12</v>
      </c>
    </row>
    <row r="39" spans="1:2">
      <c r="A39" s="2">
        <v>45931</v>
      </c>
      <c r="B39" t="s">
        <v>13</v>
      </c>
    </row>
    <row r="40" spans="1:2">
      <c r="A40" s="2">
        <v>45931</v>
      </c>
      <c r="B40" t="s">
        <v>14</v>
      </c>
    </row>
    <row r="41" spans="1:2">
      <c r="A41" s="2">
        <v>45931</v>
      </c>
      <c r="B41" t="s">
        <v>15</v>
      </c>
    </row>
    <row r="42" spans="1:2">
      <c r="A42" s="2">
        <v>45962</v>
      </c>
      <c r="B42" t="s">
        <v>12</v>
      </c>
    </row>
    <row r="43" spans="1:2">
      <c r="A43" s="2">
        <v>45962</v>
      </c>
      <c r="B43" t="s">
        <v>13</v>
      </c>
    </row>
    <row r="44" spans="1:2">
      <c r="A44" s="2">
        <v>45962</v>
      </c>
      <c r="B44" t="s">
        <v>14</v>
      </c>
    </row>
    <row r="45" spans="1:2">
      <c r="A45" s="2">
        <v>45962</v>
      </c>
      <c r="B45" t="s">
        <v>15</v>
      </c>
    </row>
    <row r="46" spans="1:2">
      <c r="A46" s="2">
        <v>45992</v>
      </c>
      <c r="B46" t="s">
        <v>12</v>
      </c>
    </row>
    <row r="47" spans="1:2">
      <c r="A47" s="2">
        <v>45992</v>
      </c>
      <c r="B47" t="s">
        <v>13</v>
      </c>
    </row>
    <row r="48" spans="1:2">
      <c r="A48" s="2">
        <v>45992</v>
      </c>
      <c r="B48" t="s">
        <v>14</v>
      </c>
    </row>
    <row r="49" spans="1:2">
      <c r="A49" s="2">
        <v>45992</v>
      </c>
      <c r="B49" t="s">
        <v>15</v>
      </c>
    </row>
  </sheetData>
  <autoFilter ref="A1:H1" xr:uid="{B70C7EA9-7B37-44D6-8852-7E62C34870B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21CF9A58114054418DF5509B5B150485" ma:contentTypeVersion="35" ma:contentTypeDescription="Create a new document." ma:contentTypeScope="" ma:versionID="9f89d92d8a6b1447cd963eb5cc15158c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90d35c4d-7fe5-48f5-abdd-79c4db53983e" xmlns:ns5="http://schemas.microsoft.com/sharepoint/v4" xmlns:ns6="f1fe0933-dde3-4918-a009-1f6af1d8bb64" targetNamespace="http://schemas.microsoft.com/office/2006/metadata/properties" ma:root="true" ma:fieldsID="d74bbda73008cfc95d31ffce7896c153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90d35c4d-7fe5-48f5-abdd-79c4db53983e"/>
    <xsd:import namespace="http://schemas.microsoft.com/sharepoint/v4"/>
    <xsd:import namespace="f1fe0933-dde3-4918-a009-1f6af1d8bb64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IconOverlay" minOccurs="0"/>
                <xsd:element ref="ns1:_vti_ItemHoldRecordStatus" minOccurs="0"/>
                <xsd:element ref="ns1:_vti_ItemDeclaredRecord" minOccurs="0"/>
                <xsd:element ref="ns4:TaxKeywordTaxHTField" minOccurs="0"/>
                <xsd:element ref="ns4:_dlc_DocId" minOccurs="0"/>
                <xsd:element ref="ns4:_dlc_DocIdUrl" minOccurs="0"/>
                <xsd:element ref="ns4:_dlc_DocIdPersistId" minOccurs="0"/>
                <xsd:element ref="ns4:SemaphoreItemMetadata" minOccurs="0"/>
                <xsd:element ref="ns6:MediaServiceMetadata" minOccurs="0"/>
                <xsd:element ref="ns6:MediaServiceFastMetadata" minOccurs="0"/>
                <xsd:element ref="ns6:MediaServiceAutoKeyPoints" minOccurs="0"/>
                <xsd:element ref="ns6:MediaServiceKeyPoints" minOccurs="0"/>
                <xsd:element ref="ns4:SharedWithUsers" minOccurs="0"/>
                <xsd:element ref="ns4:SharedWithDetails" minOccurs="0"/>
                <xsd:element ref="ns6:lcf76f155ced4ddcb4097134ff3c332f" minOccurs="0"/>
                <xsd:element ref="ns6:MediaServiceOCR" minOccurs="0"/>
                <xsd:element ref="ns6:MediaServiceGenerationTime" minOccurs="0"/>
                <xsd:element ref="ns6:MediaServiceEventHashCode" minOccurs="0"/>
                <xsd:element ref="ns6:MediaServiceDateTaken" minOccurs="0"/>
                <xsd:element ref="ns6:MediaLengthInSeconds" minOccurs="0"/>
                <xsd:element ref="ns6:MediaServiceLocation" minOccurs="0"/>
                <xsd:element ref="ns6:MediaServiceObjectDetectorVersions" minOccurs="0"/>
                <xsd:element ref="ns6:MediaServiceSearchProperties" minOccurs="0"/>
                <xsd:element ref="ns6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32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_vti_ItemDeclaredRecord" ma:index="33" nillable="true" ma:displayName="Declared Record" ma:hidden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3;#Sierra Leone-3900|aca6e3ba-d5c0-4710-9d1c-6a22ec44bec6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0ac1aacd-e336-4302-9b2c-b941717f13ca}" ma:internalName="TaxCatchAllLabel" ma:readOnly="true" ma:showField="CatchAllDataLabel" ma:web="90d35c4d-7fe5-48f5-abdd-79c4db5398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0ac1aacd-e336-4302-9b2c-b941717f13ca}" ma:internalName="TaxCatchAll" ma:showField="CatchAllData" ma:web="90d35c4d-7fe5-48f5-abdd-79c4db5398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35c4d-7fe5-48f5-abdd-79c4db53983e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34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35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3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7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emaphoreItemMetadata" ma:index="38" nillable="true" ma:displayName="Semaphore Status" ma:hidden="true" ma:internalName="SemaphoreItemMetadata">
      <xsd:simpleType>
        <xsd:restriction base="dms:Note"/>
      </xsd:simpleType>
    </xsd:element>
    <xsd:element name="SharedWithUsers" ma:index="4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1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e0933-dde3-4918-a009-1f6af1d8bb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4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46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4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5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5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5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5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5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283e0b-db31-4043-a2ef-b80661bf084a">
      <Value>3</Value>
    </TaxCatchAll>
    <ga975397408f43e4b84ec8e5a598e523 xmlns="ca283e0b-db31-4043-a2ef-b80661bf084a">
      <Terms xmlns="http://schemas.microsoft.com/office/infopath/2007/PartnerControls">
        <TermInfo xmlns="http://schemas.microsoft.com/office/infopath/2007/PartnerControls">
          <TermName xmlns="http://schemas.microsoft.com/office/infopath/2007/PartnerControls">Sierra Leone-3900</TermName>
          <TermId xmlns="http://schemas.microsoft.com/office/infopath/2007/PartnerControls">aca6e3ba-d5c0-4710-9d1c-6a22ec44bec6</TermId>
        </TermInfo>
      </Terms>
    </ga975397408f43e4b84ec8e5a598e523>
    <k8c968e8c72a4eda96b7e8fdbe192be2 xmlns="ca283e0b-db31-4043-a2ef-b80661bf084a">
      <Terms xmlns="http://schemas.microsoft.com/office/infopath/2007/PartnerControls"/>
    </k8c968e8c72a4eda96b7e8fdbe192be2>
    <j169e817e0ee4eb8974e6fc4a2762909 xmlns="ca283e0b-db31-4043-a2ef-b80661bf084a">
      <Terms xmlns="http://schemas.microsoft.com/office/infopath/2007/PartnerControls"/>
    </j169e817e0ee4eb8974e6fc4a2762909>
    <DateTransmittedEmail xmlns="ca283e0b-db31-4043-a2ef-b80661bf084a" xsi:nil="true"/>
    <ContentStatus xmlns="ca283e0b-db31-4043-a2ef-b80661bf084a" xsi:nil="true"/>
    <SenderEmail xmlns="ca283e0b-db31-4043-a2ef-b80661bf084a" xsi:nil="true"/>
    <IconOverlay xmlns="http://schemas.microsoft.com/sharepoint/v4" xsi:nil="true"/>
    <ContentLanguage xmlns="ca283e0b-db31-4043-a2ef-b80661bf084a">English</ContentLanguage>
    <j048a4f9aaad4a8990a1d5e5f53cb451 xmlns="ca283e0b-db31-4043-a2ef-b80661bf084a">
      <Terms xmlns="http://schemas.microsoft.com/office/infopath/2007/PartnerControls"/>
    </j048a4f9aaad4a8990a1d5e5f53cb451>
    <h6a71f3e574e4344bc34f3fc9dd20054 xmlns="ca283e0b-db31-4043-a2ef-b80661bf084a">
      <Terms xmlns="http://schemas.microsoft.com/office/infopath/2007/PartnerControls"/>
    </h6a71f3e574e4344bc34f3fc9dd20054>
    <CategoryDescription xmlns="http://schemas.microsoft.com/sharepoint.v3" xsi:nil="true"/>
    <RecipientsEmail xmlns="ca283e0b-db31-4043-a2ef-b80661bf084a" xsi:nil="true"/>
    <mda26ace941f4791a7314a339fee829c xmlns="ca283e0b-db31-4043-a2ef-b80661bf084a">
      <Terms xmlns="http://schemas.microsoft.com/office/infopath/2007/PartnerControls"/>
    </mda26ace941f4791a7314a339fee829c>
    <lcf76f155ced4ddcb4097134ff3c332f xmlns="f1fe0933-dde3-4918-a009-1f6af1d8bb64">
      <Terms xmlns="http://schemas.microsoft.com/office/infopath/2007/PartnerControls"/>
    </lcf76f155ced4ddcb4097134ff3c332f>
    <TaxKeywordTaxHTField xmlns="90d35c4d-7fe5-48f5-abdd-79c4db53983e">
      <Terms xmlns="http://schemas.microsoft.com/office/infopath/2007/PartnerControls"/>
    </TaxKeywordTaxHTField>
    <SemaphoreItemMetadata xmlns="90d35c4d-7fe5-48f5-abdd-79c4db53983e" xsi:nil="true"/>
    <WrittenBy xmlns="ca283e0b-db31-4043-a2ef-b80661bf084a">
      <UserInfo>
        <DisplayName/>
        <AccountId xsi:nil="true"/>
        <AccountType/>
      </UserInfo>
    </WrittenBy>
    <_dlc_DocId xmlns="90d35c4d-7fe5-48f5-abdd-79c4db53983e">D4SXUENWCEFD-1326665601-12814</_dlc_DocId>
    <_dlc_DocIdUrl xmlns="90d35c4d-7fe5-48f5-abdd-79c4db53983e">
      <Url>https://unicef.sharepoint.com/teams/SLE-T4D/_layouts/15/DocIdRedir.aspx?ID=D4SXUENWCEFD-1326665601-12814</Url>
      <Description>D4SXUENWCEFD-1326665601-12814</Description>
    </_dlc_DocIdUrl>
  </documentManagement>
</p:properties>
</file>

<file path=customXml/itemProps1.xml><?xml version="1.0" encoding="utf-8"?>
<ds:datastoreItem xmlns:ds="http://schemas.openxmlformats.org/officeDocument/2006/customXml" ds:itemID="{EC7CD077-8585-47AF-9429-E6DE2F83CEC7}"/>
</file>

<file path=customXml/itemProps2.xml><?xml version="1.0" encoding="utf-8"?>
<ds:datastoreItem xmlns:ds="http://schemas.openxmlformats.org/officeDocument/2006/customXml" ds:itemID="{4DB22470-3840-4A8F-A871-291B1843AFA9}"/>
</file>

<file path=customXml/itemProps3.xml><?xml version="1.0" encoding="utf-8"?>
<ds:datastoreItem xmlns:ds="http://schemas.openxmlformats.org/officeDocument/2006/customXml" ds:itemID="{494BEEDD-7B6E-42D8-B4B6-3FD94AD520F7}"/>
</file>

<file path=customXml/itemProps4.xml><?xml version="1.0" encoding="utf-8"?>
<ds:datastoreItem xmlns:ds="http://schemas.openxmlformats.org/officeDocument/2006/customXml" ds:itemID="{36C4CBD7-1008-4F45-9F77-F3ADBEB77CBF}"/>
</file>

<file path=customXml/itemProps5.xml><?xml version="1.0" encoding="utf-8"?>
<ds:datastoreItem xmlns:ds="http://schemas.openxmlformats.org/officeDocument/2006/customXml" ds:itemID="{D7D1AD59-AB1F-47DD-B1FF-D0F5183FB807}"/>
</file>

<file path=customXml/itemProps6.xml><?xml version="1.0" encoding="utf-8"?>
<ds:datastoreItem xmlns:ds="http://schemas.openxmlformats.org/officeDocument/2006/customXml" ds:itemID="{6219612D-1224-40D8-8A9E-BD04B51443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Alpha Amadu Barrie</dc:creator>
  <cp:keywords/>
  <dc:description/>
  <cp:lastModifiedBy/>
  <cp:revision/>
  <dcterms:created xsi:type="dcterms:W3CDTF">2015-06-05T18:17:20Z</dcterms:created>
  <dcterms:modified xsi:type="dcterms:W3CDTF">2026-05-29T12:10:12Z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0x0101009BA85F8052A6DA4FA3E31FF9F74C69700021CF9A58114054418DF5509B5B150485</vt:lpwstr>
  </property>
  <property fmtid="{D5CDD505-2E9C-101B-9397-08002B2CF9AE}" pid="3" name="OfficeDivision">
    <vt:lpwstr>3;#Sierra Leone-3900|aca6e3ba-d5c0-4710-9d1c-6a22ec44bec6</vt:lpwstr>
  </property>
  <property fmtid="{D5CDD505-2E9C-101B-9397-08002B2CF9AE}" pid="4" name="_dlc_DocIdItemGuid">
    <vt:lpwstr>4538c3e5-3ce0-4e9a-8703-54fa6aa9aa4f</vt:lpwstr>
  </property>
  <property fmtid="{D5CDD505-2E9C-101B-9397-08002B2CF9AE}" pid="5" name="TaxKeyword">
    <vt:lpwstr/>
  </property>
  <property fmtid="{D5CDD505-2E9C-101B-9397-08002B2CF9AE}" pid="6" name="SystemDTAC">
    <vt:lpwstr/>
  </property>
  <property fmtid="{D5CDD505-2E9C-101B-9397-08002B2CF9AE}" pid="7" name="Topic">
    <vt:lpwstr/>
  </property>
  <property fmtid="{D5CDD505-2E9C-101B-9397-08002B2CF9AE}" pid="8" name="MediaServiceImageTags">
    <vt:lpwstr/>
  </property>
  <property fmtid="{D5CDD505-2E9C-101B-9397-08002B2CF9AE}" pid="9" name="DocumentType">
    <vt:lpwstr/>
  </property>
  <property fmtid="{D5CDD505-2E9C-101B-9397-08002B2CF9AE}" pid="10" name="GeographicScope">
    <vt:lpwstr/>
  </property>
  <property fmtid="{D5CDD505-2E9C-101B-9397-08002B2CF9AE}" pid="11" name="CriticalForLongTermRetention">
    <vt:lpwstr/>
  </property>
</Properties>
</file>